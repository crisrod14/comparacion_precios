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crisrodena/Documents/Revisión de Precios/"/>
    </mc:Choice>
  </mc:AlternateContent>
  <xr:revisionPtr revIDLastSave="0" documentId="8_{97D06326-03DF-7848-9955-ECCA282A1A03}" xr6:coauthVersionLast="47" xr6:coauthVersionMax="47" xr10:uidLastSave="{00000000-0000-0000-0000-000000000000}"/>
  <bookViews>
    <workbookView xWindow="20" yWindow="680" windowWidth="34560" windowHeight="19980" tabRatio="792" xr2:uid="{00000000-000D-0000-FFFF-FFFF00000000}"/>
  </bookViews>
  <sheets>
    <sheet name="Accesorios" sheetId="1" r:id="rId1"/>
    <sheet name="Equipos" sheetId="2" r:id="rId2"/>
    <sheet name="Oferta Especial" sheetId="3" state="hidden" r:id="rId3"/>
  </sheets>
  <definedNames>
    <definedName name="_xlnm._FilterDatabase" localSheetId="0" hidden="1">Accesorios!$A$1:$I$192</definedName>
    <definedName name="_xlnm._FilterDatabase" localSheetId="1" hidden="1">Equipos!$A$1:$AR$204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4" i="2" l="1"/>
  <c r="I204" i="2"/>
  <c r="F204" i="2"/>
  <c r="L203" i="2"/>
  <c r="O202" i="2"/>
  <c r="L202" i="2"/>
  <c r="I202" i="2"/>
  <c r="F202" i="2"/>
  <c r="O201" i="2"/>
  <c r="L201" i="2"/>
  <c r="I201" i="2"/>
  <c r="F201" i="2"/>
  <c r="O200" i="2"/>
  <c r="L200" i="2"/>
  <c r="I200" i="2"/>
  <c r="F200" i="2"/>
  <c r="L199" i="2"/>
  <c r="F199" i="2"/>
  <c r="I198" i="2"/>
  <c r="F198" i="2"/>
  <c r="O197" i="2"/>
  <c r="I197" i="2"/>
  <c r="F197" i="2"/>
  <c r="O196" i="2"/>
  <c r="L196" i="2"/>
  <c r="I196" i="2"/>
  <c r="F196" i="2"/>
  <c r="L195" i="2"/>
  <c r="O194" i="2"/>
  <c r="L194" i="2"/>
  <c r="I194" i="2"/>
  <c r="F194" i="2"/>
  <c r="O193" i="2"/>
  <c r="L193" i="2"/>
  <c r="I193" i="2"/>
  <c r="F193" i="2"/>
  <c r="O192" i="2"/>
  <c r="L192" i="2"/>
  <c r="I192" i="2"/>
  <c r="F192" i="2"/>
  <c r="F191" i="2"/>
  <c r="O190" i="2"/>
  <c r="L190" i="2"/>
  <c r="I190" i="2"/>
  <c r="F190" i="2"/>
  <c r="O189" i="2"/>
  <c r="L189" i="2"/>
  <c r="I189" i="2"/>
  <c r="O188" i="2"/>
  <c r="L188" i="2"/>
  <c r="I188" i="2"/>
  <c r="L187" i="2"/>
  <c r="F187" i="2"/>
  <c r="O186" i="2"/>
  <c r="L186" i="2"/>
  <c r="I186" i="2"/>
  <c r="F186" i="2"/>
  <c r="O185" i="2"/>
  <c r="L185" i="2"/>
  <c r="I185" i="2"/>
  <c r="F185" i="2"/>
  <c r="O184" i="2"/>
  <c r="L184" i="2"/>
  <c r="I184" i="2"/>
  <c r="F184" i="2"/>
  <c r="L183" i="2"/>
  <c r="F183" i="2"/>
  <c r="O182" i="2"/>
  <c r="L182" i="2"/>
  <c r="I182" i="2"/>
  <c r="O181" i="2"/>
  <c r="L181" i="2"/>
  <c r="I181" i="2"/>
  <c r="F181" i="2"/>
  <c r="O180" i="2"/>
  <c r="I180" i="2"/>
  <c r="F180" i="2"/>
  <c r="L179" i="2"/>
  <c r="F178" i="2"/>
  <c r="O177" i="2"/>
  <c r="L177" i="2"/>
  <c r="I177" i="2"/>
  <c r="F177" i="2"/>
  <c r="O176" i="2"/>
  <c r="L176" i="2"/>
  <c r="I176" i="2"/>
  <c r="L175" i="2"/>
  <c r="F175" i="2"/>
  <c r="L174" i="2"/>
  <c r="O173" i="2"/>
  <c r="L173" i="2"/>
  <c r="I173" i="2"/>
  <c r="F173" i="2"/>
  <c r="O172" i="2"/>
  <c r="L172" i="2"/>
  <c r="I172" i="2"/>
  <c r="F172" i="2"/>
  <c r="O170" i="2"/>
  <c r="I170" i="2"/>
  <c r="O169" i="2"/>
  <c r="L169" i="2"/>
  <c r="I169" i="2"/>
  <c r="F169" i="2"/>
  <c r="O168" i="2"/>
  <c r="I168" i="2"/>
  <c r="F168" i="2"/>
  <c r="L166" i="2"/>
  <c r="I166" i="2"/>
  <c r="O165" i="2"/>
  <c r="L165" i="2"/>
  <c r="I165" i="2"/>
  <c r="F165" i="2"/>
  <c r="O164" i="2"/>
  <c r="I164" i="2"/>
  <c r="L163" i="2"/>
  <c r="F163" i="2"/>
  <c r="L162" i="2"/>
  <c r="O161" i="2"/>
  <c r="L161" i="2"/>
  <c r="I161" i="2"/>
  <c r="F161" i="2"/>
  <c r="O160" i="2"/>
  <c r="I160" i="2"/>
  <c r="L159" i="2"/>
  <c r="O157" i="2"/>
  <c r="L157" i="2"/>
  <c r="I157" i="2"/>
  <c r="F157" i="2"/>
  <c r="O156" i="2"/>
  <c r="I156" i="2"/>
  <c r="F156" i="2"/>
  <c r="O155" i="2"/>
  <c r="L155" i="2"/>
  <c r="I155" i="2"/>
  <c r="O154" i="2"/>
  <c r="L154" i="2"/>
  <c r="O153" i="2"/>
  <c r="L153" i="2"/>
  <c r="I153" i="2"/>
  <c r="F153" i="2"/>
  <c r="O152" i="2"/>
  <c r="I152" i="2"/>
  <c r="F152" i="2"/>
  <c r="O151" i="2"/>
  <c r="L151" i="2"/>
  <c r="I151" i="2"/>
  <c r="F151" i="2"/>
  <c r="O150" i="2"/>
  <c r="L150" i="2"/>
  <c r="I150" i="2"/>
  <c r="F150" i="2"/>
  <c r="O149" i="2"/>
  <c r="L149" i="2"/>
  <c r="I149" i="2"/>
  <c r="F149" i="2"/>
  <c r="O148" i="2"/>
  <c r="L148" i="2"/>
  <c r="I148" i="2"/>
  <c r="F148" i="2"/>
  <c r="O147" i="2"/>
  <c r="L147" i="2"/>
  <c r="I147" i="2"/>
  <c r="F147" i="2"/>
  <c r="L146" i="2"/>
  <c r="L145" i="2"/>
  <c r="I145" i="2"/>
  <c r="F145" i="2"/>
  <c r="O144" i="2"/>
  <c r="L144" i="2"/>
  <c r="I144" i="2"/>
  <c r="F144" i="2"/>
  <c r="L143" i="2"/>
  <c r="F143" i="2"/>
  <c r="O142" i="2"/>
  <c r="L142" i="2"/>
  <c r="I142" i="2"/>
  <c r="O141" i="2"/>
  <c r="L141" i="2"/>
  <c r="I141" i="2"/>
  <c r="O140" i="2"/>
  <c r="L140" i="2"/>
  <c r="I140" i="2"/>
  <c r="F140" i="2"/>
  <c r="O139" i="2"/>
  <c r="L139" i="2"/>
  <c r="F139" i="2"/>
  <c r="O138" i="2"/>
  <c r="L138" i="2"/>
  <c r="I138" i="2"/>
  <c r="O137" i="2"/>
  <c r="L137" i="2"/>
  <c r="I137" i="2"/>
  <c r="F137" i="2"/>
  <c r="O136" i="2"/>
  <c r="L136" i="2"/>
  <c r="I136" i="2"/>
  <c r="F136" i="2"/>
  <c r="O135" i="2"/>
  <c r="L135" i="2"/>
  <c r="F135" i="2"/>
  <c r="O134" i="2"/>
  <c r="L134" i="2"/>
  <c r="I134" i="2"/>
  <c r="O133" i="2"/>
  <c r="L133" i="2"/>
  <c r="I133" i="2"/>
  <c r="O132" i="2"/>
  <c r="L132" i="2"/>
  <c r="I132" i="2"/>
  <c r="F132" i="2"/>
  <c r="F131" i="2"/>
  <c r="O130" i="2"/>
  <c r="L130" i="2"/>
  <c r="I130" i="2"/>
  <c r="F130" i="2"/>
  <c r="L129" i="2"/>
  <c r="I129" i="2"/>
  <c r="O128" i="2"/>
  <c r="I128" i="2"/>
  <c r="F128" i="2"/>
  <c r="O127" i="2"/>
  <c r="L127" i="2"/>
  <c r="O126" i="2"/>
  <c r="L126" i="2"/>
  <c r="I126" i="2"/>
  <c r="O125" i="2"/>
  <c r="L125" i="2"/>
  <c r="F125" i="2"/>
  <c r="F124" i="2"/>
  <c r="O123" i="2"/>
  <c r="F123" i="2"/>
  <c r="O122" i="2"/>
  <c r="I122" i="2"/>
  <c r="F122" i="2"/>
  <c r="O121" i="2"/>
  <c r="L121" i="2"/>
  <c r="I121" i="2"/>
  <c r="F121" i="2"/>
  <c r="O120" i="2"/>
  <c r="L120" i="2"/>
  <c r="I120" i="2"/>
  <c r="F120" i="2"/>
  <c r="L119" i="2"/>
  <c r="I119" i="2"/>
  <c r="F119" i="2"/>
  <c r="O118" i="2"/>
  <c r="L118" i="2"/>
  <c r="I118" i="2"/>
  <c r="O117" i="2"/>
  <c r="L117" i="2"/>
  <c r="I117" i="2"/>
  <c r="F117" i="2"/>
  <c r="O116" i="2"/>
  <c r="L116" i="2"/>
  <c r="I116" i="2"/>
  <c r="F116" i="2"/>
  <c r="O115" i="2"/>
  <c r="L115" i="2"/>
  <c r="I115" i="2"/>
  <c r="F115" i="2"/>
  <c r="O114" i="2"/>
  <c r="L114" i="2"/>
  <c r="I114" i="2"/>
  <c r="F114" i="2"/>
  <c r="L113" i="2"/>
  <c r="O112" i="2"/>
  <c r="L112" i="2"/>
  <c r="I112" i="2"/>
  <c r="F112" i="2"/>
  <c r="L111" i="2"/>
  <c r="I111" i="2"/>
  <c r="O110" i="2"/>
  <c r="L110" i="2"/>
  <c r="I110" i="2"/>
  <c r="F110" i="2"/>
  <c r="O109" i="2"/>
  <c r="L109" i="2"/>
  <c r="F109" i="2"/>
  <c r="O108" i="2"/>
  <c r="L108" i="2"/>
  <c r="I108" i="2"/>
  <c r="O107" i="2"/>
  <c r="L107" i="2"/>
  <c r="I107" i="2"/>
  <c r="F107" i="2"/>
  <c r="O106" i="2"/>
  <c r="L106" i="2"/>
  <c r="I106" i="2"/>
  <c r="F106" i="2"/>
  <c r="O105" i="2"/>
  <c r="L105" i="2"/>
  <c r="F105" i="2"/>
  <c r="I104" i="2"/>
  <c r="F104" i="2"/>
  <c r="L103" i="2"/>
  <c r="I103" i="2"/>
  <c r="F103" i="2"/>
  <c r="O102" i="2"/>
  <c r="L102" i="2"/>
  <c r="I102" i="2"/>
  <c r="F102" i="2"/>
  <c r="L101" i="2"/>
  <c r="I101" i="2"/>
  <c r="F101" i="2"/>
  <c r="O100" i="2"/>
  <c r="L100" i="2"/>
  <c r="I100" i="2"/>
  <c r="F100" i="2"/>
  <c r="O99" i="2"/>
  <c r="L99" i="2"/>
  <c r="F99" i="2"/>
  <c r="O98" i="2"/>
  <c r="L98" i="2"/>
  <c r="I98" i="2"/>
  <c r="O97" i="2"/>
  <c r="I97" i="2"/>
  <c r="O96" i="2"/>
  <c r="L96" i="2"/>
  <c r="F96" i="2"/>
  <c r="O95" i="2"/>
  <c r="I95" i="2"/>
  <c r="F95" i="2"/>
  <c r="O94" i="2"/>
  <c r="L94" i="2"/>
  <c r="L93" i="2"/>
  <c r="I93" i="2"/>
  <c r="F93" i="2"/>
  <c r="O92" i="2"/>
  <c r="L92" i="2"/>
  <c r="I92" i="2"/>
  <c r="O90" i="2"/>
  <c r="L90" i="2"/>
  <c r="I90" i="2"/>
  <c r="L87" i="2"/>
  <c r="I87" i="2"/>
  <c r="F87" i="2"/>
  <c r="L86" i="2"/>
  <c r="F86" i="2"/>
  <c r="L84" i="2"/>
  <c r="O83" i="2"/>
  <c r="L83" i="2"/>
  <c r="O82" i="2"/>
  <c r="L82" i="2"/>
  <c r="I82" i="2"/>
  <c r="F82" i="2"/>
  <c r="O81" i="2"/>
  <c r="L81" i="2"/>
  <c r="F81" i="2"/>
  <c r="L80" i="2"/>
  <c r="F80" i="2"/>
  <c r="O79" i="2"/>
  <c r="L79" i="2"/>
  <c r="F79" i="2"/>
  <c r="O78" i="2"/>
  <c r="L78" i="2"/>
  <c r="I78" i="2"/>
  <c r="F78" i="2"/>
  <c r="O77" i="2"/>
  <c r="L77" i="2"/>
  <c r="I77" i="2"/>
  <c r="O76" i="2"/>
  <c r="L76" i="2"/>
  <c r="I76" i="2"/>
  <c r="F76" i="2"/>
  <c r="L75" i="2"/>
  <c r="F75" i="2"/>
  <c r="O74" i="2"/>
  <c r="L74" i="2"/>
  <c r="F74" i="2"/>
  <c r="O73" i="2"/>
  <c r="L73" i="2"/>
  <c r="I73" i="2"/>
  <c r="F73" i="2"/>
  <c r="O72" i="2"/>
  <c r="I72" i="2"/>
  <c r="F72" i="2"/>
  <c r="L71" i="2"/>
  <c r="O70" i="2"/>
  <c r="L70" i="2"/>
  <c r="I70" i="2"/>
  <c r="F70" i="2"/>
  <c r="O69" i="2"/>
  <c r="L69" i="2"/>
  <c r="I69" i="2"/>
  <c r="F69" i="2"/>
  <c r="O68" i="2"/>
  <c r="L68" i="2"/>
  <c r="I68" i="2"/>
  <c r="F68" i="2"/>
  <c r="O67" i="2"/>
  <c r="L67" i="2"/>
  <c r="F67" i="2"/>
  <c r="O66" i="2"/>
  <c r="L66" i="2"/>
  <c r="I66" i="2"/>
  <c r="F66" i="2"/>
  <c r="O65" i="2"/>
  <c r="L65" i="2"/>
  <c r="I65" i="2"/>
  <c r="F65" i="2"/>
  <c r="O64" i="2"/>
  <c r="L64" i="2"/>
  <c r="O63" i="2"/>
  <c r="L63" i="2"/>
  <c r="I63" i="2"/>
  <c r="F63" i="2"/>
  <c r="O62" i="2"/>
  <c r="L62" i="2"/>
  <c r="I62" i="2"/>
  <c r="F62" i="2"/>
  <c r="O61" i="2"/>
  <c r="L61" i="2"/>
  <c r="I61" i="2"/>
  <c r="F61" i="2"/>
  <c r="O60" i="2"/>
  <c r="L60" i="2"/>
  <c r="I60" i="2"/>
  <c r="O59" i="2"/>
  <c r="L59" i="2"/>
  <c r="F59" i="2"/>
  <c r="O58" i="2"/>
  <c r="L58" i="2"/>
  <c r="I58" i="2"/>
  <c r="F58" i="2"/>
  <c r="O57" i="2"/>
  <c r="I57" i="2"/>
  <c r="F57" i="2"/>
  <c r="O56" i="2"/>
  <c r="L56" i="2"/>
  <c r="F56" i="2"/>
  <c r="L55" i="2"/>
  <c r="I55" i="2"/>
  <c r="F55" i="2"/>
  <c r="O54" i="2"/>
  <c r="L54" i="2"/>
  <c r="I54" i="2"/>
  <c r="F54" i="2"/>
  <c r="O53" i="2"/>
  <c r="I53" i="2"/>
  <c r="F53" i="2"/>
  <c r="O52" i="2"/>
  <c r="L52" i="2"/>
  <c r="O51" i="2"/>
  <c r="L51" i="2"/>
  <c r="F51" i="2"/>
  <c r="O50" i="2"/>
  <c r="L50" i="2"/>
  <c r="I50" i="2"/>
  <c r="F50" i="2"/>
  <c r="O49" i="2"/>
  <c r="L49" i="2"/>
  <c r="I49" i="2"/>
  <c r="F49" i="2"/>
  <c r="L48" i="2"/>
  <c r="O47" i="2"/>
  <c r="I47" i="2"/>
  <c r="F47" i="2"/>
  <c r="O46" i="2"/>
  <c r="L46" i="2"/>
  <c r="I46" i="2"/>
  <c r="F46" i="2"/>
  <c r="O45" i="2"/>
  <c r="L45" i="2"/>
  <c r="I45" i="2"/>
  <c r="F45" i="2"/>
  <c r="O44" i="2"/>
  <c r="F44" i="2"/>
  <c r="O43" i="2"/>
  <c r="I43" i="2"/>
  <c r="F43" i="2"/>
  <c r="L42" i="2"/>
  <c r="I42" i="2"/>
  <c r="F42" i="2"/>
  <c r="O41" i="2"/>
  <c r="I41" i="2"/>
  <c r="F41" i="2"/>
  <c r="O40" i="2"/>
  <c r="I40" i="2"/>
  <c r="F40" i="2"/>
  <c r="L39" i="2"/>
  <c r="O38" i="2"/>
  <c r="F38" i="2"/>
  <c r="O37" i="2"/>
  <c r="L37" i="2"/>
  <c r="I37" i="2"/>
  <c r="F37" i="2"/>
  <c r="O36" i="2"/>
  <c r="L36" i="2"/>
  <c r="F36" i="2"/>
  <c r="O35" i="2"/>
  <c r="L35" i="2"/>
  <c r="F35" i="2"/>
  <c r="O34" i="2"/>
  <c r="L34" i="2"/>
  <c r="I34" i="2"/>
  <c r="F34" i="2"/>
  <c r="O33" i="2"/>
  <c r="I33" i="2"/>
  <c r="F33" i="2"/>
  <c r="O32" i="2"/>
  <c r="L32" i="2"/>
  <c r="I32" i="2"/>
  <c r="F32" i="2"/>
  <c r="L31" i="2"/>
  <c r="F31" i="2"/>
  <c r="O30" i="2"/>
  <c r="L30" i="2"/>
  <c r="I30" i="2"/>
  <c r="F30" i="2"/>
  <c r="O29" i="2"/>
  <c r="I29" i="2"/>
  <c r="F29" i="2"/>
  <c r="O28" i="2"/>
  <c r="L28" i="2"/>
  <c r="I28" i="2"/>
  <c r="F28" i="2"/>
  <c r="O27" i="2"/>
  <c r="L27" i="2"/>
  <c r="I27" i="2"/>
  <c r="F27" i="2"/>
  <c r="O26" i="2"/>
  <c r="L26" i="2"/>
  <c r="F26" i="2"/>
  <c r="O25" i="2"/>
  <c r="L25" i="2"/>
  <c r="I25" i="2"/>
  <c r="F25" i="2"/>
  <c r="O24" i="2"/>
  <c r="L24" i="2"/>
  <c r="I24" i="2"/>
  <c r="O23" i="2"/>
  <c r="L23" i="2"/>
  <c r="I23" i="2"/>
  <c r="F23" i="2"/>
  <c r="L22" i="2"/>
  <c r="F22" i="2"/>
  <c r="O21" i="2"/>
  <c r="L21" i="2"/>
  <c r="I21" i="2"/>
  <c r="F21" i="2"/>
  <c r="O20" i="2"/>
  <c r="L20" i="2"/>
  <c r="I20" i="2"/>
  <c r="F20" i="2"/>
  <c r="L19" i="2"/>
  <c r="I19" i="2"/>
  <c r="F19" i="2"/>
  <c r="L18" i="2"/>
  <c r="F18" i="2"/>
  <c r="O17" i="2"/>
  <c r="I17" i="2"/>
  <c r="F17" i="2"/>
  <c r="O16" i="2"/>
  <c r="L16" i="2"/>
  <c r="I16" i="2"/>
  <c r="F16" i="2"/>
  <c r="O15" i="2"/>
  <c r="L15" i="2"/>
  <c r="I15" i="2"/>
  <c r="F15" i="2"/>
  <c r="O14" i="2"/>
  <c r="L14" i="2"/>
  <c r="I14" i="2"/>
  <c r="F14" i="2"/>
  <c r="O13" i="2"/>
  <c r="L13" i="2"/>
  <c r="F13" i="2"/>
  <c r="O12" i="2"/>
  <c r="L12" i="2"/>
  <c r="I12" i="2"/>
  <c r="F12" i="2"/>
  <c r="O11" i="2"/>
  <c r="L11" i="2"/>
  <c r="I11" i="2"/>
  <c r="F11" i="2"/>
  <c r="O10" i="2"/>
  <c r="I10" i="2"/>
  <c r="F10" i="2"/>
  <c r="O9" i="2"/>
  <c r="L9" i="2"/>
  <c r="L8" i="2"/>
  <c r="I8" i="2"/>
  <c r="F8" i="2"/>
  <c r="O7" i="2"/>
  <c r="L7" i="2"/>
  <c r="I7" i="2"/>
  <c r="F7" i="2"/>
  <c r="O6" i="2"/>
  <c r="I6" i="2"/>
  <c r="F6" i="2"/>
  <c r="L5" i="2"/>
  <c r="F5" i="2"/>
  <c r="O4" i="2"/>
  <c r="L4" i="2"/>
  <c r="F4" i="2"/>
  <c r="O3" i="2"/>
  <c r="L3" i="2"/>
  <c r="I3" i="2"/>
  <c r="F3" i="2"/>
  <c r="E203" i="2" l="1"/>
  <c r="E64" i="2"/>
  <c r="E195" i="2"/>
  <c r="N8" i="2"/>
  <c r="K204" i="2"/>
  <c r="N27" i="2"/>
  <c r="H146" i="2"/>
  <c r="H38" i="2"/>
  <c r="H158" i="2"/>
  <c r="H94" i="2"/>
  <c r="H4" i="2"/>
  <c r="O8" i="2"/>
  <c r="E166" i="2"/>
  <c r="K29" i="2"/>
  <c r="E83" i="2"/>
  <c r="K164" i="2"/>
  <c r="N146" i="2"/>
  <c r="I4" i="2"/>
  <c r="E48" i="2"/>
  <c r="N166" i="2"/>
  <c r="H52" i="2"/>
  <c r="K57" i="2"/>
  <c r="K138" i="2"/>
  <c r="N25" i="2"/>
  <c r="E28" i="2"/>
  <c r="K44" i="2"/>
  <c r="E84" i="2"/>
  <c r="N182" i="2"/>
  <c r="E189" i="2"/>
  <c r="H56" i="2"/>
  <c r="H84" i="2"/>
  <c r="K181" i="2"/>
  <c r="K28" i="2"/>
  <c r="N52" i="2"/>
  <c r="N143" i="2"/>
  <c r="K48" i="2"/>
  <c r="K157" i="2"/>
  <c r="H26" i="2"/>
  <c r="N80" i="2"/>
  <c r="N85" i="2"/>
  <c r="E126" i="2"/>
  <c r="E38" i="2"/>
  <c r="L57" i="2"/>
  <c r="F83" i="2"/>
  <c r="K33" i="2"/>
  <c r="N71" i="2"/>
  <c r="K121" i="2"/>
  <c r="E134" i="2"/>
  <c r="H157" i="2"/>
  <c r="K186" i="2"/>
  <c r="N189" i="2"/>
  <c r="F195" i="2"/>
  <c r="N4" i="2"/>
  <c r="E107" i="2"/>
  <c r="H5" i="2"/>
  <c r="H18" i="2"/>
  <c r="K72" i="2"/>
  <c r="E125" i="2"/>
  <c r="K174" i="2"/>
  <c r="E9" i="2"/>
  <c r="L29" i="2"/>
  <c r="H64" i="2"/>
  <c r="H83" i="2"/>
  <c r="E100" i="2"/>
  <c r="K129" i="2"/>
  <c r="K134" i="2"/>
  <c r="K6" i="2"/>
  <c r="N21" i="2"/>
  <c r="E55" i="2"/>
  <c r="I64" i="2"/>
  <c r="N84" i="2"/>
  <c r="O143" i="2"/>
  <c r="H150" i="2"/>
  <c r="K166" i="2"/>
  <c r="E199" i="2"/>
  <c r="H12" i="2"/>
  <c r="N18" i="2"/>
  <c r="E24" i="2"/>
  <c r="H31" i="2"/>
  <c r="N67" i="2"/>
  <c r="K92" i="2"/>
  <c r="K103" i="2"/>
  <c r="K131" i="2"/>
  <c r="E137" i="2"/>
  <c r="N142" i="2"/>
  <c r="E146" i="2"/>
  <c r="K200" i="2"/>
  <c r="H22" i="2"/>
  <c r="N29" i="2"/>
  <c r="H47" i="2"/>
  <c r="H79" i="2"/>
  <c r="H99" i="2"/>
  <c r="N111" i="2"/>
  <c r="N40" i="2"/>
  <c r="N64" i="2"/>
  <c r="O111" i="2"/>
  <c r="N139" i="2"/>
  <c r="I146" i="2"/>
  <c r="N154" i="2"/>
  <c r="N133" i="2"/>
  <c r="N181" i="2"/>
  <c r="E183" i="2"/>
  <c r="K184" i="2"/>
  <c r="N31" i="2"/>
  <c r="N22" i="2"/>
  <c r="H29" i="2"/>
  <c r="O31" i="2"/>
  <c r="E103" i="2"/>
  <c r="K126" i="2"/>
  <c r="K146" i="2"/>
  <c r="E5" i="2"/>
  <c r="H6" i="2"/>
  <c r="N13" i="2"/>
  <c r="N14" i="2"/>
  <c r="E42" i="2"/>
  <c r="N50" i="2"/>
  <c r="K52" i="2"/>
  <c r="N56" i="2"/>
  <c r="H60" i="2"/>
  <c r="H71" i="2"/>
  <c r="N74" i="2"/>
  <c r="E75" i="2"/>
  <c r="I79" i="2"/>
  <c r="H82" i="2"/>
  <c r="N87" i="2"/>
  <c r="O87" i="2"/>
  <c r="H91" i="2"/>
  <c r="I91" i="2"/>
  <c r="K4" i="2"/>
  <c r="N19" i="2"/>
  <c r="H42" i="2"/>
  <c r="N44" i="2"/>
  <c r="E58" i="2"/>
  <c r="K60" i="2"/>
  <c r="E67" i="2"/>
  <c r="E68" i="2"/>
  <c r="L72" i="2"/>
  <c r="K79" i="2"/>
  <c r="H85" i="2"/>
  <c r="F113" i="2"/>
  <c r="E113" i="2"/>
  <c r="K11" i="2"/>
  <c r="I5" i="2"/>
  <c r="E13" i="2"/>
  <c r="E14" i="2"/>
  <c r="H17" i="2"/>
  <c r="O19" i="2"/>
  <c r="N26" i="2"/>
  <c r="E32" i="2"/>
  <c r="E37" i="2"/>
  <c r="N41" i="2"/>
  <c r="N54" i="2"/>
  <c r="E56" i="2"/>
  <c r="F77" i="2"/>
  <c r="E77" i="2"/>
  <c r="K85" i="2"/>
  <c r="N91" i="2"/>
  <c r="I99" i="2"/>
  <c r="F85" i="2"/>
  <c r="E85" i="2"/>
  <c r="I125" i="2"/>
  <c r="H125" i="2"/>
  <c r="K8" i="2"/>
  <c r="H13" i="2"/>
  <c r="K17" i="2"/>
  <c r="E20" i="2"/>
  <c r="I31" i="2"/>
  <c r="L33" i="2"/>
  <c r="E41" i="2"/>
  <c r="E54" i="2"/>
  <c r="I56" i="2"/>
  <c r="K69" i="2"/>
  <c r="N79" i="2"/>
  <c r="H89" i="2"/>
  <c r="N120" i="2"/>
  <c r="F9" i="2"/>
  <c r="N5" i="2"/>
  <c r="H9" i="2"/>
  <c r="L17" i="2"/>
  <c r="H19" i="2"/>
  <c r="F24" i="2"/>
  <c r="E40" i="2"/>
  <c r="E43" i="2"/>
  <c r="F48" i="2"/>
  <c r="H55" i="2"/>
  <c r="N60" i="2"/>
  <c r="K67" i="2"/>
  <c r="N70" i="2"/>
  <c r="E71" i="2"/>
  <c r="E72" i="2"/>
  <c r="K84" i="2"/>
  <c r="K87" i="2"/>
  <c r="O93" i="2"/>
  <c r="N93" i="2"/>
  <c r="H40" i="2"/>
  <c r="L44" i="2"/>
  <c r="E47" i="2"/>
  <c r="I52" i="2"/>
  <c r="F71" i="2"/>
  <c r="H72" i="2"/>
  <c r="E108" i="2"/>
  <c r="N131" i="2"/>
  <c r="N141" i="2"/>
  <c r="N162" i="2"/>
  <c r="E172" i="2"/>
  <c r="N174" i="2"/>
  <c r="E179" i="2"/>
  <c r="F189" i="2"/>
  <c r="H80" i="2"/>
  <c r="H81" i="2"/>
  <c r="N89" i="2"/>
  <c r="K96" i="2"/>
  <c r="F108" i="2"/>
  <c r="H113" i="2"/>
  <c r="K120" i="2"/>
  <c r="K130" i="2"/>
  <c r="O131" i="2"/>
  <c r="K150" i="2"/>
  <c r="K151" i="2"/>
  <c r="O162" i="2"/>
  <c r="K169" i="2"/>
  <c r="O174" i="2"/>
  <c r="N197" i="2"/>
  <c r="E116" i="2"/>
  <c r="K117" i="2"/>
  <c r="E197" i="2"/>
  <c r="K88" i="2"/>
  <c r="K108" i="2"/>
  <c r="K112" i="2"/>
  <c r="K142" i="2"/>
  <c r="F146" i="2"/>
  <c r="O146" i="2"/>
  <c r="K154" i="2"/>
  <c r="H162" i="2"/>
  <c r="F166" i="2"/>
  <c r="O166" i="2"/>
  <c r="E171" i="2"/>
  <c r="H174" i="2"/>
  <c r="E175" i="2"/>
  <c r="H182" i="2"/>
  <c r="E191" i="2"/>
  <c r="K91" i="2"/>
  <c r="E102" i="2"/>
  <c r="N113" i="2"/>
  <c r="N125" i="2"/>
  <c r="E150" i="2"/>
  <c r="N150" i="2"/>
  <c r="K155" i="2"/>
  <c r="I162" i="2"/>
  <c r="I174" i="2"/>
  <c r="E184" i="2"/>
  <c r="E187" i="2"/>
  <c r="H101" i="2"/>
  <c r="N104" i="2"/>
  <c r="H131" i="2"/>
  <c r="E158" i="2"/>
  <c r="K162" i="2"/>
  <c r="K182" i="2"/>
  <c r="E16" i="2"/>
  <c r="O55" i="2"/>
  <c r="N55" i="2"/>
  <c r="E3" i="2"/>
  <c r="L6" i="2"/>
  <c r="I9" i="2"/>
  <c r="H15" i="2"/>
  <c r="N17" i="2"/>
  <c r="O18" i="2"/>
  <c r="H21" i="2"/>
  <c r="O22" i="2"/>
  <c r="N23" i="2"/>
  <c r="K25" i="2"/>
  <c r="I26" i="2"/>
  <c r="N30" i="2"/>
  <c r="L47" i="2"/>
  <c r="K47" i="2"/>
  <c r="I51" i="2"/>
  <c r="H51" i="2"/>
  <c r="K53" i="2"/>
  <c r="L53" i="2"/>
  <c r="H10" i="2"/>
  <c r="K12" i="2"/>
  <c r="K20" i="2"/>
  <c r="H27" i="2"/>
  <c r="L38" i="2"/>
  <c r="K38" i="2"/>
  <c r="I59" i="2"/>
  <c r="H59" i="2"/>
  <c r="E7" i="2"/>
  <c r="E11" i="2"/>
  <c r="H30" i="2"/>
  <c r="I36" i="2"/>
  <c r="H36" i="2"/>
  <c r="O48" i="2"/>
  <c r="N48" i="2"/>
  <c r="E10" i="2"/>
  <c r="K10" i="2"/>
  <c r="O5" i="2"/>
  <c r="N6" i="2"/>
  <c r="K7" i="2"/>
  <c r="H8" i="2"/>
  <c r="N9" i="2"/>
  <c r="L10" i="2"/>
  <c r="I13" i="2"/>
  <c r="H14" i="2"/>
  <c r="K16" i="2"/>
  <c r="E19" i="2"/>
  <c r="K21" i="2"/>
  <c r="H23" i="2"/>
  <c r="O42" i="2"/>
  <c r="N42" i="2"/>
  <c r="H44" i="2"/>
  <c r="I44" i="2"/>
  <c r="E52" i="2"/>
  <c r="F52" i="2"/>
  <c r="I22" i="2"/>
  <c r="N51" i="2"/>
  <c r="E51" i="2"/>
  <c r="F60" i="2"/>
  <c r="E60" i="2"/>
  <c r="N12" i="2"/>
  <c r="N15" i="2"/>
  <c r="I35" i="2"/>
  <c r="H35" i="2"/>
  <c r="L41" i="2"/>
  <c r="K41" i="2"/>
  <c r="I48" i="2"/>
  <c r="H48" i="2"/>
  <c r="E59" i="2"/>
  <c r="K59" i="2"/>
  <c r="N10" i="2"/>
  <c r="E15" i="2"/>
  <c r="L43" i="2"/>
  <c r="K43" i="2"/>
  <c r="N62" i="2"/>
  <c r="N68" i="2"/>
  <c r="K73" i="2"/>
  <c r="H74" i="2"/>
  <c r="E78" i="2"/>
  <c r="E79" i="2"/>
  <c r="E80" i="2"/>
  <c r="N83" i="2"/>
  <c r="I85" i="2"/>
  <c r="H87" i="2"/>
  <c r="O89" i="2"/>
  <c r="L97" i="2"/>
  <c r="K97" i="2"/>
  <c r="K98" i="2"/>
  <c r="L104" i="2"/>
  <c r="K104" i="2"/>
  <c r="F111" i="2"/>
  <c r="E111" i="2"/>
  <c r="I113" i="2"/>
  <c r="N46" i="2"/>
  <c r="K56" i="2"/>
  <c r="K61" i="2"/>
  <c r="E62" i="2"/>
  <c r="E63" i="2"/>
  <c r="K64" i="2"/>
  <c r="H68" i="2"/>
  <c r="K71" i="2"/>
  <c r="N72" i="2"/>
  <c r="I74" i="2"/>
  <c r="H75" i="2"/>
  <c r="E76" i="2"/>
  <c r="O80" i="2"/>
  <c r="K82" i="2"/>
  <c r="K86" i="2"/>
  <c r="E88" i="2"/>
  <c r="E90" i="2"/>
  <c r="H93" i="2"/>
  <c r="H96" i="2"/>
  <c r="I96" i="2"/>
  <c r="L122" i="2"/>
  <c r="K122" i="2"/>
  <c r="F129" i="2"/>
  <c r="E129" i="2"/>
  <c r="K36" i="2"/>
  <c r="E46" i="2"/>
  <c r="K51" i="2"/>
  <c r="N63" i="2"/>
  <c r="N66" i="2"/>
  <c r="I80" i="2"/>
  <c r="E81" i="2"/>
  <c r="I83" i="2"/>
  <c r="F89" i="2"/>
  <c r="E89" i="2"/>
  <c r="F90" i="2"/>
  <c r="E94" i="2"/>
  <c r="N94" i="2"/>
  <c r="K100" i="2"/>
  <c r="F142" i="2"/>
  <c r="E142" i="2"/>
  <c r="K75" i="2"/>
  <c r="H78" i="2"/>
  <c r="F98" i="2"/>
  <c r="E98" i="2"/>
  <c r="K105" i="2"/>
  <c r="K118" i="2"/>
  <c r="F138" i="2"/>
  <c r="E138" i="2"/>
  <c r="N35" i="2"/>
  <c r="N38" i="2"/>
  <c r="N43" i="2"/>
  <c r="N47" i="2"/>
  <c r="E50" i="2"/>
  <c r="K55" i="2"/>
  <c r="N58" i="2"/>
  <c r="H63" i="2"/>
  <c r="F64" i="2"/>
  <c r="K65" i="2"/>
  <c r="K68" i="2"/>
  <c r="K80" i="2"/>
  <c r="E82" i="2"/>
  <c r="N82" i="2"/>
  <c r="K83" i="2"/>
  <c r="O85" i="2"/>
  <c r="L88" i="2"/>
  <c r="I89" i="2"/>
  <c r="O91" i="2"/>
  <c r="K93" i="2"/>
  <c r="I94" i="2"/>
  <c r="K109" i="2"/>
  <c r="E115" i="2"/>
  <c r="N137" i="2"/>
  <c r="H137" i="2"/>
  <c r="H139" i="2"/>
  <c r="I139" i="2"/>
  <c r="H143" i="2"/>
  <c r="I143" i="2"/>
  <c r="N33" i="2"/>
  <c r="N34" i="2"/>
  <c r="K37" i="2"/>
  <c r="E44" i="2"/>
  <c r="K49" i="2"/>
  <c r="H67" i="2"/>
  <c r="I84" i="2"/>
  <c r="E87" i="2"/>
  <c r="K89" i="2"/>
  <c r="K90" i="2"/>
  <c r="F92" i="2"/>
  <c r="E92" i="2"/>
  <c r="L95" i="2"/>
  <c r="K95" i="2"/>
  <c r="K99" i="2"/>
  <c r="H105" i="2"/>
  <c r="I105" i="2"/>
  <c r="N122" i="2"/>
  <c r="H122" i="2"/>
  <c r="H135" i="2"/>
  <c r="I135" i="2"/>
  <c r="F141" i="2"/>
  <c r="E141" i="2"/>
  <c r="I38" i="2"/>
  <c r="H41" i="2"/>
  <c r="H43" i="2"/>
  <c r="N59" i="2"/>
  <c r="K63" i="2"/>
  <c r="N75" i="2"/>
  <c r="E86" i="2"/>
  <c r="F91" i="2"/>
  <c r="E91" i="2"/>
  <c r="E93" i="2"/>
  <c r="K94" i="2"/>
  <c r="E97" i="2"/>
  <c r="N101" i="2"/>
  <c r="O101" i="2"/>
  <c r="H109" i="2"/>
  <c r="I109" i="2"/>
  <c r="F118" i="2"/>
  <c r="E118" i="2"/>
  <c r="O129" i="2"/>
  <c r="N129" i="2"/>
  <c r="H127" i="2"/>
  <c r="I127" i="2"/>
  <c r="F133" i="2"/>
  <c r="E133" i="2"/>
  <c r="L158" i="2"/>
  <c r="K158" i="2"/>
  <c r="F160" i="2"/>
  <c r="E160" i="2"/>
  <c r="L178" i="2"/>
  <c r="K178" i="2"/>
  <c r="N103" i="2"/>
  <c r="N148" i="2"/>
  <c r="F154" i="2"/>
  <c r="E154" i="2"/>
  <c r="K167" i="2"/>
  <c r="L167" i="2"/>
  <c r="E95" i="2"/>
  <c r="E96" i="2"/>
  <c r="N96" i="2"/>
  <c r="E99" i="2"/>
  <c r="O103" i="2"/>
  <c r="E110" i="2"/>
  <c r="N112" i="2"/>
  <c r="K113" i="2"/>
  <c r="K114" i="2"/>
  <c r="K116" i="2"/>
  <c r="F126" i="2"/>
  <c r="K127" i="2"/>
  <c r="E130" i="2"/>
  <c r="I131" i="2"/>
  <c r="F134" i="2"/>
  <c r="K135" i="2"/>
  <c r="H145" i="2"/>
  <c r="I154" i="2"/>
  <c r="H154" i="2"/>
  <c r="N158" i="2"/>
  <c r="O158" i="2"/>
  <c r="F164" i="2"/>
  <c r="E164" i="2"/>
  <c r="L170" i="2"/>
  <c r="K170" i="2"/>
  <c r="O178" i="2"/>
  <c r="N178" i="2"/>
  <c r="K180" i="2"/>
  <c r="L180" i="2"/>
  <c r="N201" i="2"/>
  <c r="K201" i="2"/>
  <c r="E201" i="2"/>
  <c r="N99" i="2"/>
  <c r="E112" i="2"/>
  <c r="H123" i="2"/>
  <c r="K139" i="2"/>
  <c r="K143" i="2"/>
  <c r="E155" i="2"/>
  <c r="F155" i="2"/>
  <c r="K156" i="2"/>
  <c r="L156" i="2"/>
  <c r="F159" i="2"/>
  <c r="E159" i="2"/>
  <c r="F176" i="2"/>
  <c r="E176" i="2"/>
  <c r="E182" i="2"/>
  <c r="F182" i="2"/>
  <c r="F188" i="2"/>
  <c r="E188" i="2"/>
  <c r="E122" i="2"/>
  <c r="K123" i="2"/>
  <c r="H126" i="2"/>
  <c r="N126" i="2"/>
  <c r="H129" i="2"/>
  <c r="L131" i="2"/>
  <c r="H133" i="2"/>
  <c r="H134" i="2"/>
  <c r="N134" i="2"/>
  <c r="H138" i="2"/>
  <c r="N138" i="2"/>
  <c r="H141" i="2"/>
  <c r="H142" i="2"/>
  <c r="N97" i="2"/>
  <c r="K101" i="2"/>
  <c r="E104" i="2"/>
  <c r="O104" i="2"/>
  <c r="K111" i="2"/>
  <c r="O113" i="2"/>
  <c r="H121" i="2"/>
  <c r="K125" i="2"/>
  <c r="H130" i="2"/>
  <c r="N130" i="2"/>
  <c r="O145" i="2"/>
  <c r="N145" i="2"/>
  <c r="N173" i="2"/>
  <c r="K176" i="2"/>
  <c r="L198" i="2"/>
  <c r="K198" i="2"/>
  <c r="N100" i="2"/>
  <c r="N105" i="2"/>
  <c r="N109" i="2"/>
  <c r="N119" i="2"/>
  <c r="N127" i="2"/>
  <c r="N135" i="2"/>
  <c r="H161" i="2"/>
  <c r="N170" i="2"/>
  <c r="H170" i="2"/>
  <c r="K147" i="2"/>
  <c r="N157" i="2"/>
  <c r="E167" i="2"/>
  <c r="F167" i="2"/>
  <c r="E170" i="2"/>
  <c r="F170" i="2"/>
  <c r="I178" i="2"/>
  <c r="H178" i="2"/>
  <c r="L197" i="2"/>
  <c r="K197" i="2"/>
  <c r="N198" i="2"/>
  <c r="K159" i="2"/>
  <c r="L164" i="2"/>
  <c r="K173" i="2"/>
  <c r="K179" i="2"/>
  <c r="K188" i="2"/>
  <c r="E194" i="2"/>
  <c r="O198" i="2"/>
  <c r="F203" i="2"/>
  <c r="E204" i="2"/>
  <c r="N152" i="2"/>
  <c r="N163" i="2"/>
  <c r="H148" i="2"/>
  <c r="I158" i="2"/>
  <c r="N159" i="2"/>
  <c r="E163" i="2"/>
  <c r="O163" i="2"/>
  <c r="E168" i="2"/>
  <c r="N169" i="2"/>
  <c r="F171" i="2"/>
  <c r="K177" i="2"/>
  <c r="N185" i="2"/>
  <c r="H190" i="2"/>
  <c r="N190" i="2"/>
  <c r="K191" i="2"/>
  <c r="E192" i="2"/>
  <c r="K193" i="2"/>
  <c r="H194" i="2"/>
  <c r="N194" i="2"/>
  <c r="K195" i="2"/>
  <c r="E196" i="2"/>
  <c r="H202" i="2"/>
  <c r="N202" i="2"/>
  <c r="L204" i="2"/>
  <c r="K189" i="2"/>
  <c r="L191" i="2"/>
  <c r="K152" i="2"/>
  <c r="N156" i="2"/>
  <c r="E162" i="2"/>
  <c r="H163" i="2"/>
  <c r="K168" i="2"/>
  <c r="K171" i="2"/>
  <c r="E174" i="2"/>
  <c r="L152" i="2"/>
  <c r="F162" i="2"/>
  <c r="K163" i="2"/>
  <c r="H166" i="2"/>
  <c r="L168" i="2"/>
  <c r="L171" i="2"/>
  <c r="K172" i="2"/>
  <c r="F174" i="2"/>
  <c r="F179" i="2"/>
  <c r="H186" i="2"/>
  <c r="N186" i="2"/>
  <c r="K190" i="2"/>
  <c r="K192" i="2"/>
  <c r="E193" i="2"/>
  <c r="K194" i="2"/>
  <c r="K196" i="2"/>
  <c r="E200" i="2"/>
  <c r="K202" i="2"/>
  <c r="E151" i="2"/>
  <c r="H159" i="2"/>
  <c r="N177" i="2"/>
  <c r="E180" i="2"/>
  <c r="K185" i="2"/>
  <c r="N193" i="2"/>
  <c r="H198" i="2"/>
  <c r="I18" i="2"/>
  <c r="E4" i="2"/>
  <c r="K5" i="2"/>
  <c r="E17" i="2"/>
  <c r="K18" i="2"/>
  <c r="E21" i="2"/>
  <c r="K22" i="2"/>
  <c r="E25" i="2"/>
  <c r="K26" i="2"/>
  <c r="E29" i="2"/>
  <c r="K30" i="2"/>
  <c r="E33" i="2"/>
  <c r="K34" i="2"/>
  <c r="K35" i="2"/>
  <c r="N37" i="2"/>
  <c r="I39" i="2"/>
  <c r="H39" i="2"/>
  <c r="K13" i="2"/>
  <c r="H3" i="2"/>
  <c r="N3" i="2"/>
  <c r="N7" i="2"/>
  <c r="H16" i="2"/>
  <c r="N16" i="2"/>
  <c r="H20" i="2"/>
  <c r="N20" i="2"/>
  <c r="H24" i="2"/>
  <c r="N24" i="2"/>
  <c r="H28" i="2"/>
  <c r="N28" i="2"/>
  <c r="H32" i="2"/>
  <c r="N32" i="2"/>
  <c r="K39" i="2"/>
  <c r="E8" i="2"/>
  <c r="K9" i="2"/>
  <c r="E12" i="2"/>
  <c r="H7" i="2"/>
  <c r="H11" i="2"/>
  <c r="N11" i="2"/>
  <c r="K14" i="2"/>
  <c r="K15" i="2"/>
  <c r="E18" i="2"/>
  <c r="K19" i="2"/>
  <c r="E22" i="2"/>
  <c r="K23" i="2"/>
  <c r="E26" i="2"/>
  <c r="K27" i="2"/>
  <c r="E30" i="2"/>
  <c r="K31" i="2"/>
  <c r="E34" i="2"/>
  <c r="E36" i="2"/>
  <c r="N36" i="2"/>
  <c r="H37" i="2"/>
  <c r="F39" i="2"/>
  <c r="E39" i="2"/>
  <c r="H25" i="2"/>
  <c r="H33" i="2"/>
  <c r="E35" i="2"/>
  <c r="K3" i="2"/>
  <c r="E6" i="2"/>
  <c r="E23" i="2"/>
  <c r="K24" i="2"/>
  <c r="E27" i="2"/>
  <c r="E31" i="2"/>
  <c r="K32" i="2"/>
  <c r="O39" i="2"/>
  <c r="N39" i="2"/>
  <c r="H34" i="2"/>
  <c r="L40" i="2"/>
  <c r="K40" i="2"/>
  <c r="K42" i="2"/>
  <c r="E45" i="2"/>
  <c r="K46" i="2"/>
  <c r="E49" i="2"/>
  <c r="K50" i="2"/>
  <c r="E53" i="2"/>
  <c r="K54" i="2"/>
  <c r="E57" i="2"/>
  <c r="K58" i="2"/>
  <c r="E61" i="2"/>
  <c r="K62" i="2"/>
  <c r="E65" i="2"/>
  <c r="K66" i="2"/>
  <c r="I67" i="2"/>
  <c r="E69" i="2"/>
  <c r="K70" i="2"/>
  <c r="I71" i="2"/>
  <c r="O71" i="2"/>
  <c r="E73" i="2"/>
  <c r="K74" i="2"/>
  <c r="I75" i="2"/>
  <c r="O75" i="2"/>
  <c r="N76" i="2"/>
  <c r="N77" i="2"/>
  <c r="N78" i="2"/>
  <c r="I81" i="2"/>
  <c r="H76" i="2"/>
  <c r="H77" i="2"/>
  <c r="E66" i="2"/>
  <c r="E70" i="2"/>
  <c r="E74" i="2"/>
  <c r="K81" i="2"/>
  <c r="H45" i="2"/>
  <c r="N45" i="2"/>
  <c r="H49" i="2"/>
  <c r="N49" i="2"/>
  <c r="H53" i="2"/>
  <c r="N53" i="2"/>
  <c r="H57" i="2"/>
  <c r="N57" i="2"/>
  <c r="H61" i="2"/>
  <c r="N61" i="2"/>
  <c r="H65" i="2"/>
  <c r="N65" i="2"/>
  <c r="H69" i="2"/>
  <c r="N69" i="2"/>
  <c r="H73" i="2"/>
  <c r="N73" i="2"/>
  <c r="I86" i="2"/>
  <c r="H86" i="2"/>
  <c r="K76" i="2"/>
  <c r="K77" i="2"/>
  <c r="H46" i="2"/>
  <c r="H50" i="2"/>
  <c r="H54" i="2"/>
  <c r="H58" i="2"/>
  <c r="H62" i="2"/>
  <c r="H66" i="2"/>
  <c r="H70" i="2"/>
  <c r="K78" i="2"/>
  <c r="N81" i="2"/>
  <c r="O88" i="2"/>
  <c r="N88" i="2"/>
  <c r="K45" i="2"/>
  <c r="O84" i="2"/>
  <c r="O86" i="2"/>
  <c r="N86" i="2"/>
  <c r="I88" i="2"/>
  <c r="H88" i="2"/>
  <c r="F84" i="2"/>
  <c r="L85" i="2"/>
  <c r="F88" i="2"/>
  <c r="L89" i="2"/>
  <c r="L91" i="2"/>
  <c r="F94" i="2"/>
  <c r="F97" i="2"/>
  <c r="H103" i="2"/>
  <c r="H107" i="2"/>
  <c r="N107" i="2"/>
  <c r="H111" i="2"/>
  <c r="H115" i="2"/>
  <c r="N115" i="2"/>
  <c r="H118" i="2"/>
  <c r="N118" i="2"/>
  <c r="H119" i="2"/>
  <c r="O119" i="2"/>
  <c r="H120" i="2"/>
  <c r="N121" i="2"/>
  <c r="L123" i="2"/>
  <c r="I124" i="2"/>
  <c r="H124" i="2"/>
  <c r="E101" i="2"/>
  <c r="K102" i="2"/>
  <c r="E105" i="2"/>
  <c r="K106" i="2"/>
  <c r="E109" i="2"/>
  <c r="K110" i="2"/>
  <c r="L124" i="2"/>
  <c r="K124" i="2"/>
  <c r="H97" i="2"/>
  <c r="H100" i="2"/>
  <c r="H104" i="2"/>
  <c r="H108" i="2"/>
  <c r="N108" i="2"/>
  <c r="H112" i="2"/>
  <c r="H116" i="2"/>
  <c r="N116" i="2"/>
  <c r="L128" i="2"/>
  <c r="K128" i="2"/>
  <c r="E106" i="2"/>
  <c r="K107" i="2"/>
  <c r="E114" i="2"/>
  <c r="K115" i="2"/>
  <c r="E117" i="2"/>
  <c r="K119" i="2"/>
  <c r="E123" i="2"/>
  <c r="N123" i="2"/>
  <c r="O124" i="2"/>
  <c r="N124" i="2"/>
  <c r="E128" i="2"/>
  <c r="H90" i="2"/>
  <c r="N90" i="2"/>
  <c r="H92" i="2"/>
  <c r="N92" i="2"/>
  <c r="H95" i="2"/>
  <c r="N95" i="2"/>
  <c r="H98" i="2"/>
  <c r="N98" i="2"/>
  <c r="H102" i="2"/>
  <c r="N102" i="2"/>
  <c r="H106" i="2"/>
  <c r="N106" i="2"/>
  <c r="H110" i="2"/>
  <c r="N110" i="2"/>
  <c r="H114" i="2"/>
  <c r="N114" i="2"/>
  <c r="H117" i="2"/>
  <c r="N117" i="2"/>
  <c r="E119" i="2"/>
  <c r="E120" i="2"/>
  <c r="E121" i="2"/>
  <c r="I123" i="2"/>
  <c r="F127" i="2"/>
  <c r="E127" i="2"/>
  <c r="E124" i="2"/>
  <c r="H149" i="2"/>
  <c r="N149" i="2"/>
  <c r="H153" i="2"/>
  <c r="N153" i="2"/>
  <c r="O167" i="2"/>
  <c r="N167" i="2"/>
  <c r="E131" i="2"/>
  <c r="K132" i="2"/>
  <c r="E135" i="2"/>
  <c r="K136" i="2"/>
  <c r="E139" i="2"/>
  <c r="K140" i="2"/>
  <c r="E143" i="2"/>
  <c r="K144" i="2"/>
  <c r="E147" i="2"/>
  <c r="K148" i="2"/>
  <c r="H160" i="2"/>
  <c r="K161" i="2"/>
  <c r="I163" i="2"/>
  <c r="O171" i="2"/>
  <c r="N171" i="2"/>
  <c r="O187" i="2"/>
  <c r="N187" i="2"/>
  <c r="I203" i="2"/>
  <c r="H203" i="2"/>
  <c r="K160" i="2"/>
  <c r="N165" i="2"/>
  <c r="H165" i="2"/>
  <c r="E165" i="2"/>
  <c r="O175" i="2"/>
  <c r="N175" i="2"/>
  <c r="I183" i="2"/>
  <c r="H183" i="2"/>
  <c r="I191" i="2"/>
  <c r="H191" i="2"/>
  <c r="I195" i="2"/>
  <c r="H195" i="2"/>
  <c r="O199" i="2"/>
  <c r="N199" i="2"/>
  <c r="E132" i="2"/>
  <c r="K133" i="2"/>
  <c r="E136" i="2"/>
  <c r="K137" i="2"/>
  <c r="E140" i="2"/>
  <c r="K141" i="2"/>
  <c r="E144" i="2"/>
  <c r="K145" i="2"/>
  <c r="E148" i="2"/>
  <c r="K149" i="2"/>
  <c r="E152" i="2"/>
  <c r="K153" i="2"/>
  <c r="E156" i="2"/>
  <c r="F158" i="2"/>
  <c r="O159" i="2"/>
  <c r="L160" i="2"/>
  <c r="E161" i="2"/>
  <c r="I167" i="2"/>
  <c r="H167" i="2"/>
  <c r="H147" i="2"/>
  <c r="N147" i="2"/>
  <c r="H151" i="2"/>
  <c r="N151" i="2"/>
  <c r="H155" i="2"/>
  <c r="N155" i="2"/>
  <c r="E157" i="2"/>
  <c r="N161" i="2"/>
  <c r="I171" i="2"/>
  <c r="H171" i="2"/>
  <c r="O179" i="2"/>
  <c r="N179" i="2"/>
  <c r="E145" i="2"/>
  <c r="E149" i="2"/>
  <c r="E153" i="2"/>
  <c r="I159" i="2"/>
  <c r="I187" i="2"/>
  <c r="H187" i="2"/>
  <c r="O203" i="2"/>
  <c r="N203" i="2"/>
  <c r="H128" i="2"/>
  <c r="N128" i="2"/>
  <c r="H132" i="2"/>
  <c r="N132" i="2"/>
  <c r="H136" i="2"/>
  <c r="N136" i="2"/>
  <c r="H140" i="2"/>
  <c r="N140" i="2"/>
  <c r="H144" i="2"/>
  <c r="N144" i="2"/>
  <c r="H152" i="2"/>
  <c r="H156" i="2"/>
  <c r="N160" i="2"/>
  <c r="K165" i="2"/>
  <c r="I175" i="2"/>
  <c r="H175" i="2"/>
  <c r="O183" i="2"/>
  <c r="N183" i="2"/>
  <c r="I199" i="2"/>
  <c r="H199" i="2"/>
  <c r="I179" i="2"/>
  <c r="H179" i="2"/>
  <c r="O191" i="2"/>
  <c r="N191" i="2"/>
  <c r="O195" i="2"/>
  <c r="N195" i="2"/>
  <c r="E169" i="2"/>
  <c r="E173" i="2"/>
  <c r="E177" i="2"/>
  <c r="E181" i="2"/>
  <c r="E185" i="2"/>
  <c r="H164" i="2"/>
  <c r="N164" i="2"/>
  <c r="H168" i="2"/>
  <c r="N168" i="2"/>
  <c r="H172" i="2"/>
  <c r="N172" i="2"/>
  <c r="H176" i="2"/>
  <c r="N176" i="2"/>
  <c r="H180" i="2"/>
  <c r="N180" i="2"/>
  <c r="H184" i="2"/>
  <c r="N184" i="2"/>
  <c r="H188" i="2"/>
  <c r="N188" i="2"/>
  <c r="H192" i="2"/>
  <c r="N192" i="2"/>
  <c r="H196" i="2"/>
  <c r="N196" i="2"/>
  <c r="H200" i="2"/>
  <c r="N200" i="2"/>
  <c r="H204" i="2"/>
  <c r="N204" i="2"/>
  <c r="K175" i="2"/>
  <c r="E178" i="2"/>
  <c r="K183" i="2"/>
  <c r="E186" i="2"/>
  <c r="K187" i="2"/>
  <c r="E190" i="2"/>
  <c r="E198" i="2"/>
  <c r="K199" i="2"/>
  <c r="E202" i="2"/>
  <c r="K203" i="2"/>
  <c r="H169" i="2"/>
  <c r="H173" i="2"/>
  <c r="H177" i="2"/>
  <c r="H181" i="2"/>
  <c r="H185" i="2"/>
  <c r="H189" i="2"/>
  <c r="H193" i="2"/>
  <c r="H197" i="2"/>
  <c r="H201" i="2"/>
  <c r="E2" i="2" l="1"/>
  <c r="O2" i="2" l="1"/>
  <c r="L2" i="2"/>
  <c r="I2" i="2"/>
  <c r="F2" i="2"/>
  <c r="K2" i="2" l="1"/>
  <c r="H2" i="2"/>
  <c r="N2" i="2"/>
  <c r="AF9" i="3" l="1"/>
  <c r="AE9" i="3"/>
  <c r="AC9" i="3"/>
  <c r="AB9" i="3"/>
  <c r="Z9" i="3"/>
  <c r="X9" i="3"/>
  <c r="W9" i="3"/>
  <c r="U9" i="3"/>
  <c r="T9" i="3"/>
  <c r="R9" i="3"/>
  <c r="Q9" i="3"/>
  <c r="O9" i="3"/>
  <c r="L9" i="3"/>
  <c r="I9" i="3"/>
  <c r="D9" i="3"/>
  <c r="AF8" i="3"/>
  <c r="AE8" i="3"/>
  <c r="AC8" i="3"/>
  <c r="AB8" i="3"/>
  <c r="Z8" i="3"/>
  <c r="X8" i="3"/>
  <c r="W8" i="3"/>
  <c r="U8" i="3"/>
  <c r="T8" i="3"/>
  <c r="R8" i="3"/>
  <c r="Q8" i="3"/>
  <c r="O8" i="3"/>
  <c r="L8" i="3"/>
  <c r="I8" i="3"/>
  <c r="D8" i="3"/>
  <c r="AF7" i="3"/>
  <c r="AE7" i="3"/>
  <c r="AC7" i="3"/>
  <c r="AB7" i="3"/>
  <c r="Z7" i="3"/>
  <c r="X7" i="3"/>
  <c r="W7" i="3"/>
  <c r="U7" i="3"/>
  <c r="T7" i="3"/>
  <c r="R7" i="3"/>
  <c r="Q7" i="3"/>
  <c r="O7" i="3"/>
  <c r="L7" i="3"/>
  <c r="I7" i="3"/>
  <c r="D7" i="3"/>
  <c r="AF6" i="3"/>
  <c r="AE6" i="3"/>
  <c r="AC6" i="3"/>
  <c r="AB6" i="3"/>
  <c r="Z6" i="3"/>
  <c r="X6" i="3"/>
  <c r="W6" i="3"/>
  <c r="U6" i="3"/>
  <c r="T6" i="3"/>
  <c r="R6" i="3"/>
  <c r="Q6" i="3"/>
  <c r="O6" i="3"/>
  <c r="L6" i="3"/>
  <c r="I6" i="3"/>
  <c r="D6" i="3"/>
  <c r="AF5" i="3"/>
  <c r="AE5" i="3"/>
  <c r="AC5" i="3"/>
  <c r="AB5" i="3"/>
  <c r="Z5" i="3"/>
  <c r="X5" i="3"/>
  <c r="W5" i="3"/>
  <c r="U5" i="3"/>
  <c r="T5" i="3"/>
  <c r="R5" i="3"/>
  <c r="Q5" i="3"/>
  <c r="O5" i="3"/>
  <c r="L5" i="3"/>
  <c r="I5" i="3"/>
  <c r="D5" i="3"/>
  <c r="AF4" i="3"/>
  <c r="AE4" i="3"/>
  <c r="AC4" i="3"/>
  <c r="AB4" i="3"/>
  <c r="Z4" i="3"/>
  <c r="X4" i="3"/>
  <c r="W4" i="3"/>
  <c r="U4" i="3"/>
  <c r="T4" i="3"/>
  <c r="R4" i="3"/>
  <c r="Q4" i="3"/>
  <c r="O4" i="3"/>
  <c r="L4" i="3"/>
  <c r="I4" i="3"/>
  <c r="D4" i="3"/>
  <c r="D2" i="3"/>
  <c r="B2" i="3"/>
  <c r="B1" i="3"/>
  <c r="R146" i="2" l="1"/>
  <c r="R196" i="2"/>
  <c r="R188" i="2"/>
  <c r="R180" i="2"/>
  <c r="R172" i="2"/>
  <c r="R164" i="2"/>
  <c r="R156" i="2"/>
  <c r="R152" i="2"/>
  <c r="R140" i="2"/>
  <c r="R132" i="2"/>
  <c r="R124" i="2"/>
  <c r="R109" i="2"/>
  <c r="R101" i="2"/>
  <c r="R89" i="2"/>
  <c r="R81" i="2"/>
  <c r="R73" i="2"/>
  <c r="R65" i="2"/>
  <c r="R57" i="2"/>
  <c r="R49" i="2"/>
  <c r="R35" i="2"/>
  <c r="R27" i="2"/>
  <c r="R19" i="2"/>
  <c r="R14" i="2"/>
  <c r="R6" i="2"/>
  <c r="R157" i="2"/>
  <c r="R195" i="2"/>
  <c r="R187" i="2"/>
  <c r="R179" i="2"/>
  <c r="R171" i="2"/>
  <c r="R163" i="2"/>
  <c r="R155" i="2"/>
  <c r="R151" i="2"/>
  <c r="R139" i="2"/>
  <c r="R131" i="2"/>
  <c r="R123" i="2"/>
  <c r="R116" i="2"/>
  <c r="R108" i="2"/>
  <c r="R100" i="2"/>
  <c r="R94" i="2"/>
  <c r="R88" i="2"/>
  <c r="R80" i="2"/>
  <c r="R72" i="2"/>
  <c r="R64" i="2"/>
  <c r="R56" i="2"/>
  <c r="R48" i="2"/>
  <c r="R34" i="2"/>
  <c r="R26" i="2"/>
  <c r="R18" i="2"/>
  <c r="R13" i="2"/>
  <c r="R5" i="2"/>
  <c r="R74" i="2"/>
  <c r="R194" i="2"/>
  <c r="R186" i="2"/>
  <c r="R178" i="2"/>
  <c r="R170" i="2"/>
  <c r="R162" i="2"/>
  <c r="R150" i="2"/>
  <c r="R138" i="2"/>
  <c r="R130" i="2"/>
  <c r="R122" i="2"/>
  <c r="R115" i="2"/>
  <c r="R107" i="2"/>
  <c r="R99" i="2"/>
  <c r="R93" i="2"/>
  <c r="R87" i="2"/>
  <c r="R79" i="2"/>
  <c r="R71" i="2"/>
  <c r="R63" i="2"/>
  <c r="R55" i="2"/>
  <c r="R47" i="2"/>
  <c r="R41" i="2"/>
  <c r="R33" i="2"/>
  <c r="R25" i="2"/>
  <c r="R17" i="2"/>
  <c r="R12" i="2"/>
  <c r="R4" i="2"/>
  <c r="R82" i="2"/>
  <c r="R193" i="2"/>
  <c r="R185" i="2"/>
  <c r="R177" i="2"/>
  <c r="R169" i="2"/>
  <c r="R161" i="2"/>
  <c r="R149" i="2"/>
  <c r="R145" i="2"/>
  <c r="R137" i="2"/>
  <c r="R129" i="2"/>
  <c r="R121" i="2"/>
  <c r="R114" i="2"/>
  <c r="R106" i="2"/>
  <c r="R98" i="2"/>
  <c r="R92" i="2"/>
  <c r="R86" i="2"/>
  <c r="R78" i="2"/>
  <c r="R70" i="2"/>
  <c r="R62" i="2"/>
  <c r="R54" i="2"/>
  <c r="R46" i="2"/>
  <c r="R40" i="2"/>
  <c r="R32" i="2"/>
  <c r="R24" i="2"/>
  <c r="R16" i="2"/>
  <c r="R11" i="2"/>
  <c r="R3" i="2"/>
  <c r="R36" i="2"/>
  <c r="R200" i="2"/>
  <c r="R192" i="2"/>
  <c r="R184" i="2"/>
  <c r="R176" i="2"/>
  <c r="R168" i="2"/>
  <c r="R160" i="2"/>
  <c r="R148" i="2"/>
  <c r="R144" i="2"/>
  <c r="R136" i="2"/>
  <c r="R128" i="2"/>
  <c r="R120" i="2"/>
  <c r="R113" i="2"/>
  <c r="R105" i="2"/>
  <c r="R91" i="2"/>
  <c r="R85" i="2"/>
  <c r="R77" i="2"/>
  <c r="R69" i="2"/>
  <c r="R61" i="2"/>
  <c r="R53" i="2"/>
  <c r="R45" i="2"/>
  <c r="R39" i="2"/>
  <c r="R31" i="2"/>
  <c r="R23" i="2"/>
  <c r="R15" i="2"/>
  <c r="R10" i="2"/>
  <c r="R2" i="2"/>
  <c r="R165" i="2"/>
  <c r="R199" i="2"/>
  <c r="R191" i="2"/>
  <c r="R183" i="2"/>
  <c r="R175" i="2"/>
  <c r="R167" i="2"/>
  <c r="R159" i="2"/>
  <c r="R147" i="2"/>
  <c r="R143" i="2"/>
  <c r="R135" i="2"/>
  <c r="R127" i="2"/>
  <c r="R119" i="2"/>
  <c r="R112" i="2"/>
  <c r="R104" i="2"/>
  <c r="R97" i="2"/>
  <c r="R84" i="2"/>
  <c r="R76" i="2"/>
  <c r="R68" i="2"/>
  <c r="R60" i="2"/>
  <c r="R52" i="2"/>
  <c r="R44" i="2"/>
  <c r="R38" i="2"/>
  <c r="R30" i="2"/>
  <c r="R22" i="2"/>
  <c r="R9" i="2"/>
  <c r="R197" i="2"/>
  <c r="R173" i="2"/>
  <c r="R133" i="2"/>
  <c r="R117" i="2"/>
  <c r="R110" i="2"/>
  <c r="R95" i="2"/>
  <c r="R66" i="2"/>
  <c r="R50" i="2"/>
  <c r="R28" i="2"/>
  <c r="R7" i="2"/>
  <c r="R198" i="2"/>
  <c r="R190" i="2"/>
  <c r="R182" i="2"/>
  <c r="R174" i="2"/>
  <c r="R166" i="2"/>
  <c r="R158" i="2"/>
  <c r="R154" i="2"/>
  <c r="R142" i="2"/>
  <c r="R134" i="2"/>
  <c r="R126" i="2"/>
  <c r="R118" i="2"/>
  <c r="R111" i="2"/>
  <c r="R103" i="2"/>
  <c r="R96" i="2"/>
  <c r="R83" i="2"/>
  <c r="R75" i="2"/>
  <c r="R67" i="2"/>
  <c r="R59" i="2"/>
  <c r="R51" i="2"/>
  <c r="R43" i="2"/>
  <c r="R37" i="2"/>
  <c r="R29" i="2"/>
  <c r="R21" i="2"/>
  <c r="R8" i="2"/>
  <c r="R189" i="2"/>
  <c r="R181" i="2"/>
  <c r="R153" i="2"/>
  <c r="R141" i="2"/>
  <c r="R125" i="2"/>
  <c r="R102" i="2"/>
  <c r="R90" i="2"/>
  <c r="R58" i="2"/>
  <c r="R42" i="2"/>
  <c r="R20" i="2"/>
</calcChain>
</file>

<file path=xl/sharedStrings.xml><?xml version="1.0" encoding="utf-8"?>
<sst xmlns="http://schemas.openxmlformats.org/spreadsheetml/2006/main" count="2338" uniqueCount="990">
  <si>
    <t>Si</t>
  </si>
  <si>
    <t>Inicio de Oferta:</t>
  </si>
  <si>
    <t>Termino de Oferta:</t>
  </si>
  <si>
    <t>Sube</t>
  </si>
  <si>
    <t>Marca</t>
  </si>
  <si>
    <t>Modelo</t>
  </si>
  <si>
    <t>SKU</t>
  </si>
  <si>
    <t>Estado Comercial</t>
  </si>
  <si>
    <t>Gama</t>
  </si>
  <si>
    <t>Cambios de Oferta</t>
  </si>
  <si>
    <t>Precio de Venta</t>
  </si>
  <si>
    <t>% de Descuento</t>
  </si>
  <si>
    <t>Precio Normal</t>
  </si>
  <si>
    <t>Todos los bancos 12 cuotas sin interes de:</t>
  </si>
  <si>
    <t>Apple</t>
  </si>
  <si>
    <t>Apple AirTag</t>
  </si>
  <si>
    <t>001.007.0139</t>
  </si>
  <si>
    <t>Vigente</t>
  </si>
  <si>
    <t>Smarthome</t>
  </si>
  <si>
    <t>Cable de carga USB-C a Lightning 1 m</t>
  </si>
  <si>
    <t>001.007.0224</t>
  </si>
  <si>
    <t>Energia </t>
  </si>
  <si>
    <t>Cable de carga USB-C de 60W 1 m</t>
  </si>
  <si>
    <t>001.007.0225</t>
  </si>
  <si>
    <t>Apple - Earpods USB-C</t>
  </si>
  <si>
    <t>001.007.0221</t>
  </si>
  <si>
    <t>Audio</t>
  </si>
  <si>
    <t>Apple - Airpods 4 con Noise Cancelling</t>
  </si>
  <si>
    <t>001.007.0285</t>
  </si>
  <si>
    <t>Apple - Airpods 4</t>
  </si>
  <si>
    <t>001.007.0284</t>
  </si>
  <si>
    <t>Apple -Apple - Cargador 20W</t>
  </si>
  <si>
    <t>001.007.0115</t>
  </si>
  <si>
    <t>Apple -Apple - Earpods</t>
  </si>
  <si>
    <t>001.007.0113</t>
  </si>
  <si>
    <t>AirPods Pro 2Gen estuche MagSafe USB C</t>
  </si>
  <si>
    <t>001.007.0222</t>
  </si>
  <si>
    <t>AirTag - Pack de 4</t>
  </si>
  <si>
    <t>001.007.0223</t>
  </si>
  <si>
    <t>Apple AirPods Pro 3</t>
  </si>
  <si>
    <t>001.007.0332</t>
  </si>
  <si>
    <t>Bose</t>
  </si>
  <si>
    <t>Bose SoundLink Flex 2nd gen Black</t>
  </si>
  <si>
    <t>001.007.0312</t>
  </si>
  <si>
    <t>End of Life</t>
  </si>
  <si>
    <t>Generico</t>
  </si>
  <si>
    <t>Lamina Protectora Pro Screen Film Lite</t>
  </si>
  <si>
    <t>001.007.0352</t>
  </si>
  <si>
    <t>Proteccion</t>
  </si>
  <si>
    <t>Huawei</t>
  </si>
  <si>
    <t>Huawei Watch GT 6 Pro 46mm Black</t>
  </si>
  <si>
    <t>001.007.0355</t>
  </si>
  <si>
    <t>Wearables</t>
  </si>
  <si>
    <t>Huawei Freebuds Pro 5 Gray</t>
  </si>
  <si>
    <t>001.007.0367</t>
  </si>
  <si>
    <t>Huawei Freeclip 2 Blue</t>
  </si>
  <si>
    <t>001.007.0368</t>
  </si>
  <si>
    <t>Huawei Watch Fit 4 Black</t>
  </si>
  <si>
    <t>001.007.0302</t>
  </si>
  <si>
    <t>Huawei Watch Fit 4 Purple</t>
  </si>
  <si>
    <t>001.007.0303</t>
  </si>
  <si>
    <t>Huawei Watch Fit 4 Pro Black</t>
  </si>
  <si>
    <t>001.007.0304</t>
  </si>
  <si>
    <t>Huawei Watch Fit 4 Pro Green</t>
  </si>
  <si>
    <t>001.007.0305</t>
  </si>
  <si>
    <t>Huawei Freebuds SE 3 Black</t>
  </si>
  <si>
    <t>001.007.0291</t>
  </si>
  <si>
    <t>Huawei Freebuds SE 3 Gold</t>
  </si>
  <si>
    <t>001.007.0292</t>
  </si>
  <si>
    <t>Huawei Watch GT 6 41mm Purple</t>
  </si>
  <si>
    <t>001.007.0327</t>
  </si>
  <si>
    <t>Huawei Watch GT 6 46mm Black</t>
  </si>
  <si>
    <t>001.007.0328</t>
  </si>
  <si>
    <t>Huawei Freebuds Pro 4 Black</t>
  </si>
  <si>
    <t>001.007.0313</t>
  </si>
  <si>
    <t>Motorola</t>
  </si>
  <si>
    <t>Motorola Moto Buds Bass Negro</t>
  </si>
  <si>
    <t>001.007.0360</t>
  </si>
  <si>
    <t>Motorola Moto Buds Bass Verde</t>
  </si>
  <si>
    <t>001.007.0361</t>
  </si>
  <si>
    <t>Motorola Moto Watch Negro Silicona</t>
  </si>
  <si>
    <t>001.007.0362</t>
  </si>
  <si>
    <t>Motorola Moto Watch Negro Metalico</t>
  </si>
  <si>
    <t>001.007.0363</t>
  </si>
  <si>
    <t>Motorola Moto Tag 2 Cafe</t>
  </si>
  <si>
    <t>001.007.0364</t>
  </si>
  <si>
    <t>Motorola Moto Sound Flow Negro</t>
  </si>
  <si>
    <t>001.007.0365</t>
  </si>
  <si>
    <t>Motorola Moto Sound Flow Beige</t>
  </si>
  <si>
    <t>001.007.0366</t>
  </si>
  <si>
    <t>Motorola Moto Buds Loop Verde</t>
  </si>
  <si>
    <t>001.007.0317</t>
  </si>
  <si>
    <t>Motorola Cargador 68W Turbo Power Negro</t>
  </si>
  <si>
    <t>001.007.0318</t>
  </si>
  <si>
    <t>Nintendo</t>
  </si>
  <si>
    <t>Nintendo Switch v1.1 Bundle Mario Kart 8</t>
  </si>
  <si>
    <t>001.007.0325</t>
  </si>
  <si>
    <t>Gaming</t>
  </si>
  <si>
    <t>Nintendo Switch v1.1 Bundle Mario Wonder</t>
  </si>
  <si>
    <t>001.007.0369</t>
  </si>
  <si>
    <t>Nintendo Switch 2 System</t>
  </si>
  <si>
    <t>001.007.0309</t>
  </si>
  <si>
    <t>Nintendo Switch 2 con Mario Kart World</t>
  </si>
  <si>
    <t>001.007.0308</t>
  </si>
  <si>
    <t>Samsung</t>
  </si>
  <si>
    <t>Cargador Samsung SFC 25W USB C</t>
  </si>
  <si>
    <t>001.007.0172</t>
  </si>
  <si>
    <t>Cargador Samsung Tipo C 25W 2nd Gen</t>
  </si>
  <si>
    <t>001.007.0333</t>
  </si>
  <si>
    <t>Samsung Cargador Tipo C 45W</t>
  </si>
  <si>
    <t>001.007.0335</t>
  </si>
  <si>
    <t>Samsung Galaxy Buds Core Negro</t>
  </si>
  <si>
    <t>001.007.0336</t>
  </si>
  <si>
    <t>Samsung Galaxy Buds 3 Pro Plata</t>
  </si>
  <si>
    <t>001.007.0337</t>
  </si>
  <si>
    <t>Samsung Galaxy Tab S10 Lite</t>
  </si>
  <si>
    <t>001.007.0342</t>
  </si>
  <si>
    <t>Tablet</t>
  </si>
  <si>
    <t>Samsung Galaxy Watch8 44mm Grafito</t>
  </si>
  <si>
    <t>001.007.0341</t>
  </si>
  <si>
    <t>Samsung Galaxy Watch8 40mm Grafito</t>
  </si>
  <si>
    <t>001.007.0340</t>
  </si>
  <si>
    <t>Samsung Galaxy Tab A11</t>
  </si>
  <si>
    <t>001.007.0350</t>
  </si>
  <si>
    <t>Samsung Galaxy SmartTag2</t>
  </si>
  <si>
    <t>001.007.0351</t>
  </si>
  <si>
    <t>Sony</t>
  </si>
  <si>
    <t>Audífonos Sony True Wireless WF-C510</t>
  </si>
  <si>
    <t>001.007.0334</t>
  </si>
  <si>
    <t>Audifonos Headphones Sony WH-CH520 Black</t>
  </si>
  <si>
    <t>001.007.0315</t>
  </si>
  <si>
    <t>Parlante Sony Portatil ULT FIELD 1 Black</t>
  </si>
  <si>
    <t>001.007.0330</t>
  </si>
  <si>
    <t>Parlante Sony Portatil ULT FIELD 1 Gray</t>
  </si>
  <si>
    <t>001.007.0331</t>
  </si>
  <si>
    <t>Sony Gaming</t>
  </si>
  <si>
    <t>Control PS5 DualSense Midnight Black</t>
  </si>
  <si>
    <t>001.007.0343</t>
  </si>
  <si>
    <t>Control PS5 DualSense White</t>
  </si>
  <si>
    <t>001.007.0344</t>
  </si>
  <si>
    <t>PS5 Slim Digital 2 Juegos GT7-AstroBot</t>
  </si>
  <si>
    <t>001.007.0345</t>
  </si>
  <si>
    <t>PS5 Slim Standard 2 Juegos GT7-AstroBot</t>
  </si>
  <si>
    <t>001.007.0346</t>
  </si>
  <si>
    <t>PS5 Slim Digital con GT7-AstroBot 825GB</t>
  </si>
  <si>
    <t>001.007.0353</t>
  </si>
  <si>
    <t>PS5 Slim Standard con GT7-AstroBot Matte</t>
  </si>
  <si>
    <t>001.007.0354</t>
  </si>
  <si>
    <t>Xiaomi</t>
  </si>
  <si>
    <t>Xiaomi Redmi Buds 8 Pro Black</t>
  </si>
  <si>
    <t>001.007.0356</t>
  </si>
  <si>
    <t>Xiaomi Smart Camera C201</t>
  </si>
  <si>
    <t>001.007.0357</t>
  </si>
  <si>
    <t>Xiaomi Sound Party</t>
  </si>
  <si>
    <t>001.007.0370</t>
  </si>
  <si>
    <t>Xiaomi Smart Projector L1</t>
  </si>
  <si>
    <t>001.007.0371</t>
  </si>
  <si>
    <t>Xiaomi Pad 7 8-128 con teclado y lapiz</t>
  </si>
  <si>
    <t>001.007.0372</t>
  </si>
  <si>
    <t>Redmi Buds 8 Active - Black</t>
  </si>
  <si>
    <t>001.007.0373</t>
  </si>
  <si>
    <t>Redmi Pad Pro 2 6-128 con Lapiz y Case</t>
  </si>
  <si>
    <t>001.007.0323</t>
  </si>
  <si>
    <t>Xiaomi Redmi Watch 5 Lite Black</t>
  </si>
  <si>
    <t>001.007.0358</t>
  </si>
  <si>
    <t>Xiaomi Redmi Watch 5 Lite Light Gold</t>
  </si>
  <si>
    <t>001.007.0359</t>
  </si>
  <si>
    <t>Audifono Redmi Buds 6 Pro Negro</t>
  </si>
  <si>
    <t>001.007.0347</t>
  </si>
  <si>
    <t>Mi Smart Camera C200</t>
  </si>
  <si>
    <t>001.007.0181</t>
  </si>
  <si>
    <t>Xiaomi Sound Outdoor 30W Black</t>
  </si>
  <si>
    <t>001.007.0295</t>
  </si>
  <si>
    <t>Xiaomi Sound Pocket 5W Black</t>
  </si>
  <si>
    <t>001.007.0294</t>
  </si>
  <si>
    <t>Xiaomi 33W PowerBank 20000mAh</t>
  </si>
  <si>
    <t>001.007.0296</t>
  </si>
  <si>
    <t>Redmi Buds 6 Active - Black</t>
  </si>
  <si>
    <t>001.007.0275</t>
  </si>
  <si>
    <t>Redmi Watch 5 Active Black</t>
  </si>
  <si>
    <t>001.007.0300</t>
  </si>
  <si>
    <t>Redmi Pad Pro 6+128 lapiz y teclado</t>
  </si>
  <si>
    <t>001.007.0329</t>
  </si>
  <si>
    <t>Xiaomi Power Bank 10000mAh 22.5W Lite</t>
  </si>
  <si>
    <t>001.007.0319</t>
  </si>
  <si>
    <t>Xiaomi Body Composition Scale S400</t>
  </si>
  <si>
    <t>001.007.0320</t>
  </si>
  <si>
    <t>Camara Xiaomi Outdoor Security CW300</t>
  </si>
  <si>
    <t>001.007.0348</t>
  </si>
  <si>
    <t>Xiaomi Outdoor Camera AW300</t>
  </si>
  <si>
    <t>001.007.0321</t>
  </si>
  <si>
    <t>Xiaomi Redmi Pad 2 Gray Set</t>
  </si>
  <si>
    <t>001.007.0322</t>
  </si>
  <si>
    <t>Apple AirPods</t>
  </si>
  <si>
    <t>001.012.1474</t>
  </si>
  <si>
    <t>Descontinuado</t>
  </si>
  <si>
    <t>Baseus</t>
  </si>
  <si>
    <t>Cargador Baseus 25W Tipo C + Cable</t>
  </si>
  <si>
    <t>001.007.0252</t>
  </si>
  <si>
    <t>Blik</t>
  </si>
  <si>
    <t>Blik Vybe Parlante</t>
  </si>
  <si>
    <t>001.007.0179</t>
  </si>
  <si>
    <t>Bose Revolve II</t>
  </si>
  <si>
    <t>001.007.0161</t>
  </si>
  <si>
    <t>Duracell</t>
  </si>
  <si>
    <t>Duracell Powerbank 6700Mah</t>
  </si>
  <si>
    <t>001.007.0133</t>
  </si>
  <si>
    <t>Gigastone</t>
  </si>
  <si>
    <t>Bateria Externa 10000mAh Gigastone</t>
  </si>
  <si>
    <t>001.007.0216</t>
  </si>
  <si>
    <t>Honor</t>
  </si>
  <si>
    <t>Honor Choice Watch</t>
  </si>
  <si>
    <t>001.007.0286</t>
  </si>
  <si>
    <t>Honor Choice Headphone Pro</t>
  </si>
  <si>
    <t>001.007.0324</t>
  </si>
  <si>
    <t>Audifonos HONOR CHOICE Earbuds X5</t>
  </si>
  <si>
    <t>001.007.0218</t>
  </si>
  <si>
    <t>HONOR CHOICE Band</t>
  </si>
  <si>
    <t>001.007.0219</t>
  </si>
  <si>
    <t>Huawei Watch GT 5 46mm Black</t>
  </si>
  <si>
    <t>001.007.0314</t>
  </si>
  <si>
    <t>Huawei Fit 3 Black</t>
  </si>
  <si>
    <t>001.007.0246</t>
  </si>
  <si>
    <t>Huawei Fit 3 Pink</t>
  </si>
  <si>
    <t>001.007.0290</t>
  </si>
  <si>
    <t>Huawei Watch GT 4 46mm Black</t>
  </si>
  <si>
    <t>001.007.0207</t>
  </si>
  <si>
    <t>Huawei Watch GT 4 41mm White Leather</t>
  </si>
  <si>
    <t>001.007.0208</t>
  </si>
  <si>
    <t>Huawei - Cable tipo C/MUSB adapter</t>
  </si>
  <si>
    <t>001.007.0053</t>
  </si>
  <si>
    <t>Huawei - Carcasa Mate 10 Lite</t>
  </si>
  <si>
    <t>001.007.0022</t>
  </si>
  <si>
    <t>Huawei Freebuds 5i</t>
  </si>
  <si>
    <t>001.007.0186</t>
  </si>
  <si>
    <t>Huawei Sound Joy</t>
  </si>
  <si>
    <t>001.007.0168</t>
  </si>
  <si>
    <t>Huawei Watch Fit 2</t>
  </si>
  <si>
    <t>001.007.0185</t>
  </si>
  <si>
    <t>Huawei-Classic Earphones (AUX)</t>
  </si>
  <si>
    <t>001.007.0118</t>
  </si>
  <si>
    <t>Huawei Cargador Inalambrico</t>
  </si>
  <si>
    <t>001.012.1458</t>
  </si>
  <si>
    <t>Parlante Bluetooth Nova 5T</t>
  </si>
  <si>
    <t>001.012.1476</t>
  </si>
  <si>
    <t>Huawei Freebuds 3</t>
  </si>
  <si>
    <t>001.012.1481</t>
  </si>
  <si>
    <t>Huawei Tablet T5 10 Inch</t>
  </si>
  <si>
    <t>001.012.1472</t>
  </si>
  <si>
    <t>Huawei Band 4 Pro</t>
  </si>
  <si>
    <t>001.012.1482</t>
  </si>
  <si>
    <t>Huawei Band 9 Black</t>
  </si>
  <si>
    <t>001.007.0244</t>
  </si>
  <si>
    <t>Huawei Band 9 Pink</t>
  </si>
  <si>
    <t>001.007.0245</t>
  </si>
  <si>
    <t>Huawei Audifonos Freebuds 3</t>
  </si>
  <si>
    <t>001.007.0091</t>
  </si>
  <si>
    <t>JBL</t>
  </si>
  <si>
    <t>JBL Flip 6</t>
  </si>
  <si>
    <t>001.007.0183</t>
  </si>
  <si>
    <t>JBL Charge 5 Black</t>
  </si>
  <si>
    <t>001.007.0268</t>
  </si>
  <si>
    <t>JBL Endurance Race TWS - White</t>
  </si>
  <si>
    <t>001.007.0274</t>
  </si>
  <si>
    <t>JBL Endurance Race TWS - Black</t>
  </si>
  <si>
    <t>001.007.0273</t>
  </si>
  <si>
    <t>JBL GO 4 Black</t>
  </si>
  <si>
    <t>001.007.0263</t>
  </si>
  <si>
    <t>JBL Go 3</t>
  </si>
  <si>
    <t>001.007.0132</t>
  </si>
  <si>
    <t>Klipxtreme</t>
  </si>
  <si>
    <t>Klipxtreme Edge Buds Pro with ANC</t>
  </si>
  <si>
    <t>001.007.0191</t>
  </si>
  <si>
    <t>Audifonos TWS Klipxtreme ZoundsBuds KTE-250BK</t>
  </si>
  <si>
    <t>001.007.0217</t>
  </si>
  <si>
    <t>Klipxtreme Audifono Bluetooth Funk</t>
  </si>
  <si>
    <t>001.007.0190</t>
  </si>
  <si>
    <t>Marley</t>
  </si>
  <si>
    <t>Marley - Parlante BT Chant Mini</t>
  </si>
  <si>
    <t>001.007.0069</t>
  </si>
  <si>
    <t>Motorola Moto Buds Azul</t>
  </si>
  <si>
    <t>001.007.0297</t>
  </si>
  <si>
    <t>Motorola Moto Buds Celeste</t>
  </si>
  <si>
    <t>001.007.0298</t>
  </si>
  <si>
    <t>Motorola - Manos Libres H</t>
  </si>
  <si>
    <t>001.007.0041</t>
  </si>
  <si>
    <t>Philips</t>
  </si>
  <si>
    <t>Audifono Bluetooth Philips TAH1108</t>
  </si>
  <si>
    <t>001.007.0289</t>
  </si>
  <si>
    <t>Cargador Philips Tipo-C 20W Cable USB-C</t>
  </si>
  <si>
    <t>001.007.0293</t>
  </si>
  <si>
    <t>Audífono Earbuds Bluetooth Philips TAT1207WT</t>
  </si>
  <si>
    <t>001.007.0248</t>
  </si>
  <si>
    <t>Philips - Cable para iPhone 1.2 Mts.</t>
  </si>
  <si>
    <t>001.007.0017</t>
  </si>
  <si>
    <t>Philips Cable Carga 3 en 1 </t>
  </si>
  <si>
    <t>001.007.0081</t>
  </si>
  <si>
    <t>Philips Cargador Rapido +  USB</t>
  </si>
  <si>
    <t>001.007.0083</t>
  </si>
  <si>
    <t>Redmagic</t>
  </si>
  <si>
    <t>Audifonos Inalambricos Gaming TWS</t>
  </si>
  <si>
    <t>001.007.0195</t>
  </si>
  <si>
    <t>Samsung Galaxy Active 2 44MM</t>
  </si>
  <si>
    <t>001.007.0095</t>
  </si>
  <si>
    <t>Samsung Wireless Charger Pad 2</t>
  </si>
  <si>
    <t>001.007.0096</t>
  </si>
  <si>
    <t>Samsung Galaxy Buds</t>
  </si>
  <si>
    <t>001.012.1465</t>
  </si>
  <si>
    <t>Samsung Galaxy Buds+</t>
  </si>
  <si>
    <t>001.012.1480</t>
  </si>
  <si>
    <t>Samsung Galaxy Watch Active</t>
  </si>
  <si>
    <t>001.012.1473</t>
  </si>
  <si>
    <t>Samsung Cargador Travel Adaptor 65W Trio</t>
  </si>
  <si>
    <t>001.007.0188</t>
  </si>
  <si>
    <t>Samsung Galaxy Watch6 40mm Beige</t>
  </si>
  <si>
    <t>001.007.0196</t>
  </si>
  <si>
    <t>Samsung Galaxy Watch6 44mm Black</t>
  </si>
  <si>
    <t>001.007.0197</t>
  </si>
  <si>
    <t>Samsung Galaxy Buds2</t>
  </si>
  <si>
    <t>001.007.0144</t>
  </si>
  <si>
    <t>Sandisk</t>
  </si>
  <si>
    <t>Sandisk - Memoria Micro SD 64 GB</t>
  </si>
  <si>
    <t>001.007.0005</t>
  </si>
  <si>
    <t>Almacenamiento</t>
  </si>
  <si>
    <t>Sandisk - Memoria Micro SD 128 GB</t>
  </si>
  <si>
    <t>001.007.0078</t>
  </si>
  <si>
    <t>Sandisk - Memoria Micro SD 16 GB</t>
  </si>
  <si>
    <t>001.007.0003</t>
  </si>
  <si>
    <t>Sandisk - Memoria Micro SD 32 GB</t>
  </si>
  <si>
    <t>001.007.0004</t>
  </si>
  <si>
    <t>TCL</t>
  </si>
  <si>
    <t>Tablet - TCL TAB 10L</t>
  </si>
  <si>
    <t>001.007.0214</t>
  </si>
  <si>
    <t>Tablet - TCL TAB NXTPAPER 11</t>
  </si>
  <si>
    <t>001.007.0215</t>
  </si>
  <si>
    <t>Ultra</t>
  </si>
  <si>
    <t>Ultra Action Camara HD</t>
  </si>
  <si>
    <t>001.007.0052</t>
  </si>
  <si>
    <t>Xiaomi Audifonos Redmi buds 4 active</t>
  </si>
  <si>
    <t>001.007.0189</t>
  </si>
  <si>
    <t>Xiaomi Mi Smart Band 8</t>
  </si>
  <si>
    <t>001.007.0198</t>
  </si>
  <si>
    <t>Xiaomi Redmi Watch 2 Lite GL</t>
  </si>
  <si>
    <t>001.007.0156</t>
  </si>
  <si>
    <t>Xiaomi Redmi Watch 3</t>
  </si>
  <si>
    <t>001.007.0192</t>
  </si>
  <si>
    <t>Xiaomi - Mi Smart Sensor Set</t>
  </si>
  <si>
    <t>001.007.0107</t>
  </si>
  <si>
    <t>Xiaomi - Pesa Mi Body Scale 2</t>
  </si>
  <si>
    <t>001.007.0111</t>
  </si>
  <si>
    <t>Xiaomi Mi Router 4A</t>
  </si>
  <si>
    <t>001.007.0166</t>
  </si>
  <si>
    <t>Xiaomi MI Watch S1 Active</t>
  </si>
  <si>
    <t>001.007.0157</t>
  </si>
  <si>
    <t>Xiaomi Mi Wi-Fi Extender Pro</t>
  </si>
  <si>
    <t>001.007.0165</t>
  </si>
  <si>
    <t>Xiaomi Redmi Buds 3 Lite</t>
  </si>
  <si>
    <t>001.007.0158</t>
  </si>
  <si>
    <t>Xiaomi Smart Band 6</t>
  </si>
  <si>
    <t>001.007.0149</t>
  </si>
  <si>
    <t>Xiaomi Mi Smart Band 8 Active</t>
  </si>
  <si>
    <t>001.007.0199</t>
  </si>
  <si>
    <t>Xiaomi Redmi Powerbank 20000mAh 18W</t>
  </si>
  <si>
    <t>001.007.0193</t>
  </si>
  <si>
    <t>Xiaomi Smart Band 9 Midnight Black</t>
  </si>
  <si>
    <t>001.007.0283</t>
  </si>
  <si>
    <t>Xiaomi Redmi Buds 3</t>
  </si>
  <si>
    <t>001.007.0148</t>
  </si>
  <si>
    <t>ZTE</t>
  </si>
  <si>
    <t>Cargador ZTE Nubia 30 Watts GaN</t>
  </si>
  <si>
    <t>001.007.0203</t>
  </si>
  <si>
    <t>Versión:</t>
  </si>
  <si>
    <t>Exclusivo Modalidad Venta en Cuotas</t>
  </si>
  <si>
    <t>Exclusivo Planes - Pago Debito - Crédito - Efectivo</t>
  </si>
  <si>
    <t>Exclusivo Prepago Pago Debito - Crédito - Efectivo</t>
  </si>
  <si>
    <t>Seguro Equipos</t>
  </si>
  <si>
    <t>Venta en Cuotas SIN Portabilidad o Porta origen Prepago</t>
  </si>
  <si>
    <t>Venta en Cuotas Portabilidad Origen Postpago</t>
  </si>
  <si>
    <t>Venta en Cuotas Renovaciòn</t>
  </si>
  <si>
    <t>Venta Directa Portabilidad</t>
  </si>
  <si>
    <t>Venta Directa Renovación</t>
  </si>
  <si>
    <t>Venta Directa Nueva Linea</t>
  </si>
  <si>
    <t>Prepago</t>
  </si>
  <si>
    <t>SHDES</t>
  </si>
  <si>
    <t>Cuota Inicial</t>
  </si>
  <si>
    <t>Cuota Mensual
por 18 meses</t>
  </si>
  <si>
    <t>Total Venta en Cuotas</t>
  </si>
  <si>
    <t>Equipo con Portabilidad</t>
  </si>
  <si>
    <t>% Descuento</t>
  </si>
  <si>
    <r>
      <rPr>
        <sz val="8"/>
        <color theme="0"/>
        <rFont val="Calibri"/>
        <family val="2"/>
      </rPr>
      <t xml:space="preserve">Bancos Asociados </t>
    </r>
    <r>
      <rPr>
        <b/>
        <sz val="8"/>
        <color theme="0"/>
        <rFont val="Calibri"/>
        <family val="2"/>
      </rPr>
      <t>24</t>
    </r>
    <r>
      <rPr>
        <sz val="8"/>
        <color theme="0"/>
        <rFont val="Calibri"/>
        <family val="2"/>
      </rPr>
      <t xml:space="preserve"> cuotas sin interes de:</t>
    </r>
  </si>
  <si>
    <t>Equipo en Renovacion</t>
  </si>
  <si>
    <r>
      <rPr>
        <sz val="8"/>
        <color theme="0"/>
        <rFont val="Calibri"/>
        <family val="2"/>
      </rPr>
      <t xml:space="preserve">Bancos Asociados </t>
    </r>
    <r>
      <rPr>
        <b/>
        <sz val="8"/>
        <color theme="0"/>
        <rFont val="Calibri"/>
        <family val="2"/>
      </rPr>
      <t>24</t>
    </r>
    <r>
      <rPr>
        <sz val="8"/>
        <color theme="0"/>
        <rFont val="Calibri"/>
        <family val="2"/>
      </rPr>
      <t xml:space="preserve"> cuotas sin interes de:</t>
    </r>
  </si>
  <si>
    <t>Equipo con Nuevo Numero</t>
  </si>
  <si>
    <r>
      <rPr>
        <sz val="8"/>
        <color theme="0"/>
        <rFont val="Calibri"/>
        <family val="2"/>
      </rPr>
      <t xml:space="preserve">Todos los bancos </t>
    </r>
    <r>
      <rPr>
        <b/>
        <sz val="8"/>
        <color theme="0"/>
        <rFont val="Calibri"/>
        <family val="2"/>
      </rPr>
      <t>12</t>
    </r>
    <r>
      <rPr>
        <sz val="8"/>
        <color theme="0"/>
        <rFont val="Calibri"/>
        <family val="2"/>
      </rPr>
      <t xml:space="preserve"> cuotas sin interes de:</t>
    </r>
  </si>
  <si>
    <t>Prepago Tiendas / Telecanales</t>
  </si>
  <si>
    <t>Prepago Exclusivo wom.cl</t>
  </si>
  <si>
    <r>
      <rPr>
        <sz val="8"/>
        <color theme="0"/>
        <rFont val="Calibri"/>
        <family val="2"/>
      </rPr>
      <t xml:space="preserve">Todos los bancos </t>
    </r>
    <r>
      <rPr>
        <b/>
        <sz val="8"/>
        <color theme="0"/>
        <rFont val="Calibri"/>
        <family val="2"/>
      </rPr>
      <t>12</t>
    </r>
    <r>
      <rPr>
        <sz val="8"/>
        <color theme="0"/>
        <rFont val="Calibri"/>
        <family val="2"/>
      </rPr>
      <t xml:space="preserve"> cuotas sin interes de:</t>
    </r>
  </si>
  <si>
    <t>Prima por Daño Mensual</t>
  </si>
  <si>
    <t>Prima por Robo + Daño  Mensual</t>
  </si>
  <si>
    <t>BMobile C42 4G Gray</t>
  </si>
  <si>
    <t>001.002.2838</t>
  </si>
  <si>
    <t>En Oferta</t>
  </si>
  <si>
    <t>Motorola Moto G06 4G 128GB Azul</t>
  </si>
  <si>
    <t>001.002.2913</t>
  </si>
  <si>
    <t>Motorola Moto G06 4G 128GB Verde</t>
  </si>
  <si>
    <t>001.002.2914</t>
  </si>
  <si>
    <t>Redmi A5 4G 128GB Black</t>
  </si>
  <si>
    <t>001.002.2788</t>
  </si>
  <si>
    <t>ZTE Blade A56 Pro 4G 128GB Grey</t>
  </si>
  <si>
    <t>001.002.2822</t>
  </si>
  <si>
    <t>Honor X5c 4G 128GB Black</t>
  </si>
  <si>
    <t>001.002.2912</t>
  </si>
  <si>
    <t>Redmi 15C 4G 128GB Black</t>
  </si>
  <si>
    <t>001.002.2844</t>
  </si>
  <si>
    <t>Redmi 15C 4G 128GB Blue</t>
  </si>
  <si>
    <t>001.002.2896</t>
  </si>
  <si>
    <t>Honor X5b Plus 4G 256GB Black</t>
  </si>
  <si>
    <t>001.002.2735</t>
  </si>
  <si>
    <t>Honor X5b Plus 4G 256GB Blue</t>
  </si>
  <si>
    <t>001.002.2736</t>
  </si>
  <si>
    <t>Motorola Moto G05 4G 64GB Verde</t>
  </si>
  <si>
    <t>001.002.2754</t>
  </si>
  <si>
    <t>Motorola Moto G05 4G 64GB Rojo</t>
  </si>
  <si>
    <t>001.002.2755</t>
  </si>
  <si>
    <t>Redmi 15C 4G 256GB Black</t>
  </si>
  <si>
    <t>001.002.2828</t>
  </si>
  <si>
    <t>Redmi 15C 4G 256GB Blue</t>
  </si>
  <si>
    <t>001.002.2829</t>
  </si>
  <si>
    <t>Redmi 14C 4G 256GB Starry Blue</t>
  </si>
  <si>
    <t>001.002.2670</t>
  </si>
  <si>
    <t>Redmi 14C 4G 256GB Midnight Black</t>
  </si>
  <si>
    <t>001.002.2671</t>
  </si>
  <si>
    <t>Honor X5c Plus 4G 256GB Silver</t>
  </si>
  <si>
    <t>001.002.2902</t>
  </si>
  <si>
    <t>Infinix Hot 60i 5G 128GB Black</t>
  </si>
  <si>
    <t>001.002.2900</t>
  </si>
  <si>
    <t>Infinix Hot 60i 5G 128GB Blue</t>
  </si>
  <si>
    <t>001.002.2901</t>
  </si>
  <si>
    <t>Motorola Moto G15 4G 128GB Verde</t>
  </si>
  <si>
    <t>001.002.2897</t>
  </si>
  <si>
    <t>Motorola Moto G15 4G 128GB Gris</t>
  </si>
  <si>
    <t>001.002.2898</t>
  </si>
  <si>
    <t>Motorola Moto G15 4G 128GB Naranja</t>
  </si>
  <si>
    <t>001.002.2899</t>
  </si>
  <si>
    <t>Honor X5c Plus 4G 256GB Cyan</t>
  </si>
  <si>
    <t>001.002.2903</t>
  </si>
  <si>
    <t>Redmi 15C 5G 256GB Black</t>
  </si>
  <si>
    <t>001.002.2833</t>
  </si>
  <si>
    <t>Redmi 15C 5G 256GB Green</t>
  </si>
  <si>
    <t>001.002.2834</t>
  </si>
  <si>
    <t>Honor X6b 5G 256GB Black</t>
  </si>
  <si>
    <t>001.002.2737</t>
  </si>
  <si>
    <t>Motorola Moto G35 5G 128GB Negro</t>
  </si>
  <si>
    <t>001.002.2756</t>
  </si>
  <si>
    <t>XT2433-2-Negro</t>
  </si>
  <si>
    <t>Motorola Moto G35 5G 128GB Verde</t>
  </si>
  <si>
    <t>001.002.2757</t>
  </si>
  <si>
    <t>XT2433-2-Verde</t>
  </si>
  <si>
    <t>Motorola Moto G35 5G 128GB Naranja</t>
  </si>
  <si>
    <t>001.002.2758</t>
  </si>
  <si>
    <t>XT2433-2-Naranja</t>
  </si>
  <si>
    <t>Motorola Moto G35 5G 128GB Gris</t>
  </si>
  <si>
    <t>001.002.2759</t>
  </si>
  <si>
    <t>XT2433-2-Gris</t>
  </si>
  <si>
    <t>Honor X6b 5G 256GB Green</t>
  </si>
  <si>
    <t>001.002.2738</t>
  </si>
  <si>
    <t>Redmi 13C 5G 128GB Black</t>
  </si>
  <si>
    <t>001.002.2739</t>
  </si>
  <si>
    <t>Redmi 13C 5G 128GB Blue</t>
  </si>
  <si>
    <t>001.002.2760</t>
  </si>
  <si>
    <t>Samsung Galaxy A17 5G 128GB Black</t>
  </si>
  <si>
    <t>001.002.2845</t>
  </si>
  <si>
    <t>Samsung Galaxy A16 5G 128GB Black</t>
  </si>
  <si>
    <t>001.002.2836</t>
  </si>
  <si>
    <t>Motorola Moto G35 5G 256GB Negro</t>
  </si>
  <si>
    <t>001.002.2906</t>
  </si>
  <si>
    <t>Motorola Moto G35 5G 256GB Verde</t>
  </si>
  <si>
    <t>001.002.2907</t>
  </si>
  <si>
    <t>Redmi 15 5G 256 GB Black</t>
  </si>
  <si>
    <t>001.002.2842</t>
  </si>
  <si>
    <t>Redmi 15 5G 256 GB Gray</t>
  </si>
  <si>
    <t>001.002.2843</t>
  </si>
  <si>
    <t>Motorola Moto G56 5G 256GB Azul</t>
  </si>
  <si>
    <t>001.002.2823</t>
  </si>
  <si>
    <t>Motorola Moto G55 5G 256GB Black</t>
  </si>
  <si>
    <t>001.002.2740</t>
  </si>
  <si>
    <t>Motorola Moto G55 5G 256GB Verde</t>
  </si>
  <si>
    <t>001.002.2741</t>
  </si>
  <si>
    <t>Motorola Moto G55 5G 256GB Rosa</t>
  </si>
  <si>
    <t>001.002.2742</t>
  </si>
  <si>
    <t>Motorola Moto G56 5G 256GB Verde</t>
  </si>
  <si>
    <t>001.002.2824</t>
  </si>
  <si>
    <t>Samsung Galaxy A26 5G 128GB Black</t>
  </si>
  <si>
    <t>001.002.2790</t>
  </si>
  <si>
    <t xml:space="preserve">ZTE Nubia Neo 3 5G 256GB Black Bundle </t>
  </si>
  <si>
    <t>001.002.2821</t>
  </si>
  <si>
    <t>Motorola Edge 50 Fusion 5G 256GB Blue</t>
  </si>
  <si>
    <t>001.002.2622</t>
  </si>
  <si>
    <t>Motorola Edge 50 Fusion 5G 256GB Pink</t>
  </si>
  <si>
    <t>001.002.2623</t>
  </si>
  <si>
    <t>Motorola Edge 50 Fusion 5G 256GB Tidal Teal</t>
  </si>
  <si>
    <t>001.002.2624</t>
  </si>
  <si>
    <t>Motorola Moto G85 5G 256GB Gris</t>
  </si>
  <si>
    <t>001.002.2663</t>
  </si>
  <si>
    <t>Motorola Moto G85 5G 256GB Azul</t>
  </si>
  <si>
    <t>001.002.2664</t>
  </si>
  <si>
    <t>Motorola Moto G85 5G 256GB Verde Lima</t>
  </si>
  <si>
    <t>001.002.2665</t>
  </si>
  <si>
    <t>Redmi Note 15 5G 256GB Bundle Black</t>
  </si>
  <si>
    <t>001.002.2917</t>
  </si>
  <si>
    <t>Redmi Note 15 5G 256GB Bundle Blue</t>
  </si>
  <si>
    <t>001.002.2918</t>
  </si>
  <si>
    <t>Redmi Note 15 5G 256GB Black</t>
  </si>
  <si>
    <t>001.002.2923</t>
  </si>
  <si>
    <t>Redmi Note 15 5G 256GB Blue</t>
  </si>
  <si>
    <t>001.002.2924</t>
  </si>
  <si>
    <t>Redmi Note 14 5G 256GB Black</t>
  </si>
  <si>
    <t>001.002.2748</t>
  </si>
  <si>
    <t>Honor X9c Smart 5G 256GB Cyan</t>
  </si>
  <si>
    <t>001.002.2744</t>
  </si>
  <si>
    <t>Honor 200 Lite 5G 256GB Black</t>
  </si>
  <si>
    <t>001.002.2661</t>
  </si>
  <si>
    <t>Honor 200 Lite 5G 256GB Blue</t>
  </si>
  <si>
    <t>001.002.2765</t>
  </si>
  <si>
    <t>Redmi Note 14 5G 256GB Green</t>
  </si>
  <si>
    <t>001.002.2749</t>
  </si>
  <si>
    <t>Motorola Moto G86 Power 5G 256GB Azul</t>
  </si>
  <si>
    <t>001.002.2825</t>
  </si>
  <si>
    <t>Infinix Note 40 5G 256GB Negro</t>
  </si>
  <si>
    <t>001.002.2766</t>
  </si>
  <si>
    <t>Motorola Moto G86 Power 5G 256GB Cereza</t>
  </si>
  <si>
    <t>001.002.2826</t>
  </si>
  <si>
    <t>Motorola Moto G86 Power 5G 256GB Lila</t>
  </si>
  <si>
    <t>001.002.2827</t>
  </si>
  <si>
    <t>Honor 400 Smart 5G 256GB Gold</t>
  </si>
  <si>
    <t>001.002.2819</t>
  </si>
  <si>
    <t>Honor 400 Smart 5G 256GB Silver</t>
  </si>
  <si>
    <t>001.002.2820</t>
  </si>
  <si>
    <t>Infinix Note 50X 5G 256GB Grey</t>
  </si>
  <si>
    <t>001.002.2802</t>
  </si>
  <si>
    <t>Infinix Note 50X 5G 256GB Purple</t>
  </si>
  <si>
    <t>001.002.2803</t>
  </si>
  <si>
    <t>Honor 400 Lite 5G 256GB Black</t>
  </si>
  <si>
    <t>001.002.2779</t>
  </si>
  <si>
    <t>Honor 400 Lite 5G 256GB Silver</t>
  </si>
  <si>
    <t>001.002.2780</t>
  </si>
  <si>
    <t>Honor 400 Lite 5G 256GB Black Bundle</t>
  </si>
  <si>
    <t>001.002.2804</t>
  </si>
  <si>
    <t>Honor 400 Lite 5G 256GB Silver Bundle</t>
  </si>
  <si>
    <t>001.002.2839</t>
  </si>
  <si>
    <t>Motorola Edge 60 Fusion 5G 256GB Azul</t>
  </si>
  <si>
    <t>001.002.2815</t>
  </si>
  <si>
    <t>Motorola Edge 60 Fusion 5G 256GB Rosa</t>
  </si>
  <si>
    <t>001.002.2816</t>
  </si>
  <si>
    <t>Motorola Edge 60 Fusion 5G 256GB Celeste</t>
  </si>
  <si>
    <t>001.002.2817</t>
  </si>
  <si>
    <t>Motorola Edge 60 Fusion 5G 256GB Verde</t>
  </si>
  <si>
    <t>001.002.2818</t>
  </si>
  <si>
    <t>Samsung Galaxy A36 5G 128GB Black</t>
  </si>
  <si>
    <t>001.002.2791</t>
  </si>
  <si>
    <t>Samsung Galaxy A36 5G 128GB White</t>
  </si>
  <si>
    <t>001.002.2808</t>
  </si>
  <si>
    <t>Samsung Galaxy A36 5G 128GB Green</t>
  </si>
  <si>
    <t>001.002.2837</t>
  </si>
  <si>
    <t>Redmi Note 14 Pro 5G 256GB Black</t>
  </si>
  <si>
    <t>001.002.2750</t>
  </si>
  <si>
    <t>24090RA29G-Midgnight Black</t>
  </si>
  <si>
    <t>Redmi Note 14 Pro 5G 256GB Green</t>
  </si>
  <si>
    <t>001.002.2751</t>
  </si>
  <si>
    <t>24090RA29G- Coral Green</t>
  </si>
  <si>
    <t>Redmi Note 15 Pro 5G 512GB Bundle Black</t>
  </si>
  <si>
    <t>001.002.2919</t>
  </si>
  <si>
    <t>Redmi Note 15 Pro 5G 512GB Bundle Silver</t>
  </si>
  <si>
    <t>001.002.2920</t>
  </si>
  <si>
    <t>Redmi Note 15 Pro 5G 512GB Black</t>
  </si>
  <si>
    <t>001.002.2925</t>
  </si>
  <si>
    <t>Redmi Note 15 Pro 5G 512GB Silver</t>
  </si>
  <si>
    <t>001.002.2926</t>
  </si>
  <si>
    <t>Honor Magic 7 Lite 5G 512GB Purple</t>
  </si>
  <si>
    <t>001.002.2745</t>
  </si>
  <si>
    <t>Honor Magic 7 Lite 5G 512GB Black</t>
  </si>
  <si>
    <t>001.002.2746</t>
  </si>
  <si>
    <t>Honor Magic 8 Lite 5G 512GB Bundle Black</t>
  </si>
  <si>
    <t>001.002.2910</t>
  </si>
  <si>
    <t>Honor Magic 8 Lite 5G 512GB Bundle Green</t>
  </si>
  <si>
    <t>001.002.2911</t>
  </si>
  <si>
    <t>Honor Magic 8 Lite 5G 512GB Black</t>
  </si>
  <si>
    <t>001.002.2930</t>
  </si>
  <si>
    <t>Honor Magic 8 Lite 5G 512GB Green</t>
  </si>
  <si>
    <t>001.002.2931</t>
  </si>
  <si>
    <t>Motorola Edge 50 5G 256GB Gris</t>
  </si>
  <si>
    <t>001.002.2732</t>
  </si>
  <si>
    <t>Motorola Edge 50 5G 256GB Verde</t>
  </si>
  <si>
    <t>001.002.2733</t>
  </si>
  <si>
    <t>Motorola Edge 50 5G 256GB Naranja</t>
  </si>
  <si>
    <t>001.002.2734</t>
  </si>
  <si>
    <t>Redmi Note 14 Pro Plus 5G 256GB Black</t>
  </si>
  <si>
    <t>001.002.2752</t>
  </si>
  <si>
    <t>Redmi Note 14 Pro Plus 5G 256GB Blue</t>
  </si>
  <si>
    <t>001.002.2753</t>
  </si>
  <si>
    <t>Honor 400 5G 512GB Black</t>
  </si>
  <si>
    <t>001.002.2811</t>
  </si>
  <si>
    <t>Honor 400 5G 512GB Gold</t>
  </si>
  <si>
    <t>001.002.2812</t>
  </si>
  <si>
    <t>Honor 400 5G 512GB Black Bundle</t>
  </si>
  <si>
    <t>001.002.2813</t>
  </si>
  <si>
    <t>Honor 400 5G 512GB Gold Bundle</t>
  </si>
  <si>
    <t>001.002.2814</t>
  </si>
  <si>
    <t>Samsung Galaxy A56 5G 256GB Black</t>
  </si>
  <si>
    <t>001.002.2794</t>
  </si>
  <si>
    <t>Samsung Galaxy A56 5G 256GB Green</t>
  </si>
  <si>
    <t>001.002.2894</t>
  </si>
  <si>
    <t>Redmi Note 15 Pro Plus 5G 512GB BD Black</t>
  </si>
  <si>
    <t>001.002.2921</t>
  </si>
  <si>
    <t>Redmi Note 15 Pro Plus 5G 512GB BD Bronce</t>
  </si>
  <si>
    <t>001.002.2922</t>
  </si>
  <si>
    <t>Redmi Note 15 Pro Plus 5G 512GB Black</t>
  </si>
  <si>
    <t>001.002.2927</t>
  </si>
  <si>
    <t>Redmi Note 15 Pro Plus 5G 512GB Bronce</t>
  </si>
  <si>
    <t>001.002.2928</t>
  </si>
  <si>
    <t>Xiaomi 14T 5G 512GB Gray</t>
  </si>
  <si>
    <t>001.002.2666</t>
  </si>
  <si>
    <t>Xiaomi 14T 5G 512GB Black</t>
  </si>
  <si>
    <t>001.002.2667</t>
  </si>
  <si>
    <t>Xiaomi 14T 5G 512GB Green</t>
  </si>
  <si>
    <t>001.002.2668</t>
  </si>
  <si>
    <t>Honor 200 5G 512GB Green</t>
  </si>
  <si>
    <t>001.002.2662</t>
  </si>
  <si>
    <t>Xiaomi 15T 5G 512GB Black</t>
  </si>
  <si>
    <t>001.002.2830</t>
  </si>
  <si>
    <t>Xiaomi 15T 5G 512GB Silver</t>
  </si>
  <si>
    <t>001.002.2831</t>
  </si>
  <si>
    <t>Xiaomi 15T 5G 512GB Rose</t>
  </si>
  <si>
    <t>001.002.2840</t>
  </si>
  <si>
    <t>Apple iPhone 16e 5G 128GB Negro</t>
  </si>
  <si>
    <t>001.002.2767</t>
  </si>
  <si>
    <t>Apple iPhone 16e 5G 128GB Blanco</t>
  </si>
  <si>
    <t>001.002.2768</t>
  </si>
  <si>
    <t>Apple iPhone12 128GB Purple</t>
  </si>
  <si>
    <t>001.002.1955</t>
  </si>
  <si>
    <t>Samsung Galaxy S25 FE 5G 128GB Navy</t>
  </si>
  <si>
    <t>001.002.2848</t>
  </si>
  <si>
    <t>Motorola Edge 60 Pro 5G 512GB Gris</t>
  </si>
  <si>
    <t>001.002.2915</t>
  </si>
  <si>
    <t>Motorola Edge 60 Pro 5G 512GB Azul</t>
  </si>
  <si>
    <t>001.002.2916</t>
  </si>
  <si>
    <t>Xiaomi 15T Pro 5G 512GB Black</t>
  </si>
  <si>
    <t>001.002.2832</t>
  </si>
  <si>
    <t>Xiaomi 15T Pro 5G 512GB Mocha</t>
  </si>
  <si>
    <t>001.002.2841</t>
  </si>
  <si>
    <t>Apple iPhone 16 5G 128GB Black</t>
  </si>
  <si>
    <t>001.002.2672</t>
  </si>
  <si>
    <t>Apple iPhone 16 5G 128GB White</t>
  </si>
  <si>
    <t>001.002.2673</t>
  </si>
  <si>
    <t>Apple iPhone 16 5G 128GB Pink</t>
  </si>
  <si>
    <t>001.002.2674</t>
  </si>
  <si>
    <t>Apple iPhone 16 5G 128GB Ultramarine</t>
  </si>
  <si>
    <t>001.002.2675</t>
  </si>
  <si>
    <t>Apple iPhone 16 5G 128GB Teal</t>
  </si>
  <si>
    <t>001.002.2676</t>
  </si>
  <si>
    <t>Samsung Galaxy S25 5G 128GB Navy Blue</t>
  </si>
  <si>
    <t>001.002.2776</t>
  </si>
  <si>
    <t>Samsung Galaxy S25 5G 128GB Icy Blue</t>
  </si>
  <si>
    <t>001.002.2796</t>
  </si>
  <si>
    <t>Samsung Galaxy S25 5G 128GB Silver Shadow</t>
  </si>
  <si>
    <t>001.002.2810</t>
  </si>
  <si>
    <t>Apple iPhone 15 5G 128GB Negro</t>
  </si>
  <si>
    <t>001.002.2486</t>
  </si>
  <si>
    <t>Apple iPhone 15 5G 128GB Rosa</t>
  </si>
  <si>
    <t>001.002.2487</t>
  </si>
  <si>
    <t>Apple iPhone 15 5G 128GB Amarillo</t>
  </si>
  <si>
    <t>001.002.2488</t>
  </si>
  <si>
    <t>Apple iPhone 15 5G 128GB Azul</t>
  </si>
  <si>
    <t>001.002.2489</t>
  </si>
  <si>
    <t>Apple iPhone 15 5G 128GB Verde</t>
  </si>
  <si>
    <t>001.002.2490</t>
  </si>
  <si>
    <t>Xiaomi 15 5G 512GB Black</t>
  </si>
  <si>
    <t>001.002.2773</t>
  </si>
  <si>
    <t>Apple iPhone 17 5G 256GB Black</t>
  </si>
  <si>
    <t>001.002.2850</t>
  </si>
  <si>
    <t>Apple iPhone 17 5G 256GB White</t>
  </si>
  <si>
    <t>001.002.2851</t>
  </si>
  <si>
    <t>Apple iPhone 17 5G 256GB Mist Blue</t>
  </si>
  <si>
    <t>001.002.2852</t>
  </si>
  <si>
    <t>Apple iPhone 17 5G 256GB Lavender</t>
  </si>
  <si>
    <t>001.002.2853</t>
  </si>
  <si>
    <t>Apple iPhone 17 5G 256GB Sage</t>
  </si>
  <si>
    <t>001.002.2854</t>
  </si>
  <si>
    <t>Samsung Galaxy S25 5G 256GB Navy Blue</t>
  </si>
  <si>
    <t>001.002.2797</t>
  </si>
  <si>
    <t>Samsung Galaxy Z Flip7 FE 5G 128GB Black</t>
  </si>
  <si>
    <t>001.002.2846</t>
  </si>
  <si>
    <t>Honor Magic 7 Pro 5G 512GB Gray</t>
  </si>
  <si>
    <t>001.002.2747</t>
  </si>
  <si>
    <t>Xiaomi 15 Ultra 5G 512GB Black</t>
  </si>
  <si>
    <t>001.002.2774</t>
  </si>
  <si>
    <t>Xiaomi 15 Ultra 5G 512GB Silver Chrome</t>
  </si>
  <si>
    <t>001.002.2775</t>
  </si>
  <si>
    <t>Apple iPhone 17 Pro 5G 256GB Silver</t>
  </si>
  <si>
    <t>001.002.2860</t>
  </si>
  <si>
    <t>Apple iPhone 17 Pro 5G 256GB Cosmic Orange</t>
  </si>
  <si>
    <t>001.002.2861</t>
  </si>
  <si>
    <t>Apple iPhone 17 Pro 5G 256GB Deep Blue</t>
  </si>
  <si>
    <t>001.002.2862</t>
  </si>
  <si>
    <t>Apple iPhone 17 Pro Max 5G 256GB Silver</t>
  </si>
  <si>
    <t>001.002.2869</t>
  </si>
  <si>
    <t>Apple iPhone 17 Pro Max 5G 256GB Orange</t>
  </si>
  <si>
    <t>001.002.2870</t>
  </si>
  <si>
    <t>Apple iPhone 17 Pro Max 5G 256GB Deep Blue</t>
  </si>
  <si>
    <t>001.002.2871</t>
  </si>
  <si>
    <t>Apple iPhone 17 Pro 5G 512GB Silver</t>
  </si>
  <si>
    <t>001.002.2863</t>
  </si>
  <si>
    <t>Apple iPhone 17 Pro 5G 512GB Cosmic Orange</t>
  </si>
  <si>
    <t>001.002.2864</t>
  </si>
  <si>
    <t>Apple iPhone 17 Pro 5G 512GB Deep Blue</t>
  </si>
  <si>
    <t>001.002.2865</t>
  </si>
  <si>
    <t>Samsung Galaxy S25 Ultra 5G 512GB Black</t>
  </si>
  <si>
    <t>001.002.2799</t>
  </si>
  <si>
    <t>Samsung Galaxy S25 Ultra 5G 512GB Gray</t>
  </si>
  <si>
    <t>001.002.2800</t>
  </si>
  <si>
    <t>Apple iPhone 17 Pro Max 5G 512GB Silver</t>
  </si>
  <si>
    <t>001.002.2872</t>
  </si>
  <si>
    <t>Apple iPhone 17 Pro Max 5G 512GB Orange</t>
  </si>
  <si>
    <t>001.002.2873</t>
  </si>
  <si>
    <t>Apple iPhone 17 Pro Max 5G 512GB Deep Blue</t>
  </si>
  <si>
    <t>001.002.2874</t>
  </si>
  <si>
    <t>Apple iPhone 17 Pro Max 5G 1TB Silver</t>
  </si>
  <si>
    <t>001.002.2875</t>
  </si>
  <si>
    <t>Apple iPhone 17 Pro Max 5G 1TB Orange</t>
  </si>
  <si>
    <t>001.002.2876</t>
  </si>
  <si>
    <t>Apple iPhone 17 Pro Max 5G 1TB Deep Blue</t>
  </si>
  <si>
    <t>001.002.2877</t>
  </si>
  <si>
    <t>Samsung Galaxy Z Flip7 5G 256GB Jetblack</t>
  </si>
  <si>
    <t>001.002.2847</t>
  </si>
  <si>
    <t>Codigo EBS</t>
  </si>
  <si>
    <t>Nombre Tienda</t>
  </si>
  <si>
    <t>Baja / Nuevo</t>
  </si>
  <si>
    <t>OFERTA EXCLUSIVA (CODIGO DE PLAN)</t>
  </si>
  <si>
    <r>
      <rPr>
        <sz val="8"/>
        <color theme="0"/>
        <rFont val="Calibri"/>
        <family val="2"/>
      </rPr>
      <t xml:space="preserve">Bancos Asociados </t>
    </r>
    <r>
      <rPr>
        <b/>
        <sz val="8"/>
        <color theme="0"/>
        <rFont val="Calibri"/>
        <family val="2"/>
      </rPr>
      <t>24</t>
    </r>
    <r>
      <rPr>
        <sz val="8"/>
        <color theme="0"/>
        <rFont val="Calibri"/>
        <family val="2"/>
      </rPr>
      <t xml:space="preserve"> cuotas sin interes de:</t>
    </r>
  </si>
  <si>
    <r>
      <rPr>
        <sz val="8"/>
        <color theme="0"/>
        <rFont val="Calibri"/>
        <family val="2"/>
      </rPr>
      <t xml:space="preserve">Bancos Asociados </t>
    </r>
    <r>
      <rPr>
        <b/>
        <sz val="8"/>
        <color theme="0"/>
        <rFont val="Calibri"/>
        <family val="2"/>
      </rPr>
      <t>24</t>
    </r>
    <r>
      <rPr>
        <sz val="8"/>
        <color theme="0"/>
        <rFont val="Calibri"/>
        <family val="2"/>
      </rPr>
      <t xml:space="preserve"> cuotas sin interes de:</t>
    </r>
  </si>
  <si>
    <r>
      <rPr>
        <sz val="8"/>
        <color theme="0"/>
        <rFont val="Calibri"/>
        <family val="2"/>
      </rPr>
      <t xml:space="preserve">Todos los bancos </t>
    </r>
    <r>
      <rPr>
        <b/>
        <sz val="8"/>
        <color theme="0"/>
        <rFont val="Calibri"/>
        <family val="2"/>
      </rPr>
      <t>12</t>
    </r>
    <r>
      <rPr>
        <sz val="8"/>
        <color theme="0"/>
        <rFont val="Calibri"/>
        <family val="2"/>
      </rPr>
      <t xml:space="preserve"> cuotas sin interes de:</t>
    </r>
  </si>
  <si>
    <r>
      <rPr>
        <sz val="8"/>
        <color theme="0"/>
        <rFont val="Calibri"/>
        <family val="2"/>
      </rPr>
      <t xml:space="preserve">Todos los bancos </t>
    </r>
    <r>
      <rPr>
        <b/>
        <sz val="8"/>
        <color theme="0"/>
        <rFont val="Calibri"/>
        <family val="2"/>
      </rPr>
      <t>12</t>
    </r>
    <r>
      <rPr>
        <sz val="8"/>
        <color theme="0"/>
        <rFont val="Calibri"/>
        <family val="2"/>
      </rPr>
      <t xml:space="preserve"> cuotas sin interes de:</t>
    </r>
  </si>
  <si>
    <t>Lanzamiento</t>
  </si>
  <si>
    <t>MAK</t>
  </si>
  <si>
    <t>Sucural Gral Mackenna (MAK)</t>
  </si>
  <si>
    <t>$6.000</t>
  </si>
  <si>
    <t>$10.000</t>
  </si>
  <si>
    <t>$7.000</t>
  </si>
  <si>
    <t>$12.000</t>
  </si>
  <si>
    <t>EOL</t>
  </si>
  <si>
    <t>BMobile C42 4G Blue</t>
  </si>
  <si>
    <t>001.002.2932</t>
  </si>
  <si>
    <t>001.007.0376</t>
  </si>
  <si>
    <t>Huawei Matepad 11.5 128 teclado y lapiz</t>
  </si>
  <si>
    <t>BMobile C42 4G</t>
  </si>
  <si>
    <t>Motorola Moto G06 4G 128GB</t>
  </si>
  <si>
    <t>ZTE Blade A56 Pro 4G 128GB</t>
  </si>
  <si>
    <t>Honor X5c 4G 128GB</t>
  </si>
  <si>
    <t>Redmi 15C 4G 128GB</t>
  </si>
  <si>
    <t>Honor X5b Plus 4G 256GB</t>
  </si>
  <si>
    <t>Motorola Moto G05 4G 64GB</t>
  </si>
  <si>
    <t>Redmi 15C 4G 256GB</t>
  </si>
  <si>
    <t>Redmi 14C 4G 256GB</t>
  </si>
  <si>
    <t>Honor X5c Plus 4G 256GB</t>
  </si>
  <si>
    <t>Infinix Hot 60i 5G 128GB</t>
  </si>
  <si>
    <t>Motorola Moto G15 4G 128GB</t>
  </si>
  <si>
    <t>Redmi 15C 5G 256GB</t>
  </si>
  <si>
    <t>Honor X6b 5G 256GB</t>
  </si>
  <si>
    <t>Motorola Moto G35 5G 128GB</t>
  </si>
  <si>
    <t>Samsung Galaxy A17 5G 128GB</t>
  </si>
  <si>
    <t>Samsung Galaxy A16 5G 128GB</t>
  </si>
  <si>
    <t>Motorola Moto G35 5G 256GB</t>
  </si>
  <si>
    <t>Motorola Moto G56 5G 256GB</t>
  </si>
  <si>
    <t>Motorola Moto G55 5G 256GB</t>
  </si>
  <si>
    <t>Samsung Galaxy A26 5G 128GB</t>
  </si>
  <si>
    <t>Motorola Edge 50 Fusion 5G 256GB</t>
  </si>
  <si>
    <t>Motorola Moto G85 5G 256GB</t>
  </si>
  <si>
    <t>Motorola Moto G86 Power 5G 256GB</t>
  </si>
  <si>
    <t>Infinix Note 40 5G 256GB</t>
  </si>
  <si>
    <t>Honor 400 Smart 5G 256GB</t>
  </si>
  <si>
    <t>Infinix Note 50X 5G 256GB</t>
  </si>
  <si>
    <t>Honor 400 Lite 5G 256GB</t>
  </si>
  <si>
    <t>Motorola Edge 60 Fusion 5G 256GB</t>
  </si>
  <si>
    <t>Samsung Galaxy A36 5G 128GB</t>
  </si>
  <si>
    <t>Honor Magic 7 Lite 5G 512GB</t>
  </si>
  <si>
    <t>Honor Magic 8 Lite 5G 512GB</t>
  </si>
  <si>
    <t>Honor 400 5G 512GB</t>
  </si>
  <si>
    <t>Samsung Galaxy A56 5G 256GB</t>
  </si>
  <si>
    <t>Xiaomi 14T 5G 512GB</t>
  </si>
  <si>
    <t>Honor 200 5G 512GB</t>
  </si>
  <si>
    <t>Xiaomi 15T 5G 512GB</t>
  </si>
  <si>
    <t>Apple iPhone 16e 5G 128GB</t>
  </si>
  <si>
    <t>Apple iPhone 12 5G 128GB</t>
  </si>
  <si>
    <t>Samsung Galaxy S25 FE 5G 128GB</t>
  </si>
  <si>
    <t>Motorola Edge 60 Pro 5G 512GB</t>
  </si>
  <si>
    <t>Xiaomi 15T Pro 5G 512GB</t>
  </si>
  <si>
    <t>Apple iPhone 16 5G 128GB</t>
  </si>
  <si>
    <t>Samsung Galaxy S25 5G 128GB</t>
  </si>
  <si>
    <t>Apple iPhone 15 5G 128GB</t>
  </si>
  <si>
    <t>Xiaomi 15 5G 512GB</t>
  </si>
  <si>
    <t>Apple iPhone 17 5G 256GB</t>
  </si>
  <si>
    <t>Samsung Galaxy S25 5G 256GB</t>
  </si>
  <si>
    <t>Samsung Galaxy Z Flip7 FE 5G 128GB</t>
  </si>
  <si>
    <t>Honor Magic 7 Pro 5G 512GB</t>
  </si>
  <si>
    <t>Xiaomi 15 Ultra 5G 512GB</t>
  </si>
  <si>
    <t>Apple iPhone 17 Pro 5G 256GB</t>
  </si>
  <si>
    <t>Apple iPhone 17 Pro Max 5G 256GB</t>
  </si>
  <si>
    <t>Apple iPhone 17 Pro 5G 512GB</t>
  </si>
  <si>
    <t>Samsung Galaxy S25 Ultra 5G 512GB</t>
  </si>
  <si>
    <t>Apple iPhone 17 Pro Max 5G 512GB</t>
  </si>
  <si>
    <t>Apple iPhone 17 Pro Max 5G 1TB</t>
  </si>
  <si>
    <t>Samsung Galaxy Z Flip7 5G 256GB</t>
  </si>
  <si>
    <t>Xiaomi Redmi A5 4G 128GB</t>
  </si>
  <si>
    <t>Xiaomi Redmi 13C 5G 128GB</t>
  </si>
  <si>
    <t>Xiaomi Redmi 15 5G 256GB</t>
  </si>
  <si>
    <t>Xiaomi Redmi Note 15 5G 256GB</t>
  </si>
  <si>
    <t>Xiaomi Redmi Note 14 5G 256gb</t>
  </si>
  <si>
    <t>Xiaomi Redmi Note 14 Pro 5G 256GB</t>
  </si>
  <si>
    <t>Xiaomi Redmi Note 15 Pro 5G 512GB</t>
  </si>
  <si>
    <t>Xiaomi Redmi Note 14 Pro Plus 5G 256GB</t>
  </si>
  <si>
    <t>Xiaomi Redmi Note 15 Pro Plus 5G 512GB</t>
  </si>
  <si>
    <t>ZTE Nubia Neo 3 5G 256GB Black Bundle</t>
  </si>
  <si>
    <t>Motorola Edge 50 5G 256GB</t>
  </si>
  <si>
    <t>Apple iPhone 17e 5G 256GB Black</t>
  </si>
  <si>
    <t>Apple iPhone 17e 5G 256GB White</t>
  </si>
  <si>
    <t>Apple iPhone 17e 5G 256GB Soft Pink</t>
  </si>
  <si>
    <t>001.002.2942</t>
  </si>
  <si>
    <t>001.002.2943</t>
  </si>
  <si>
    <t>001.002.2944</t>
  </si>
  <si>
    <t>Apple iPhone 17e 5G 256GB</t>
  </si>
  <si>
    <t>Tecno Pova 6 5G 256GB White</t>
  </si>
  <si>
    <t>Honor X6d 5G 256GB Black</t>
  </si>
  <si>
    <t>Honor X6d 5G 256GB Cyan</t>
  </si>
  <si>
    <t>001.002.2939</t>
  </si>
  <si>
    <t>001.002.2940</t>
  </si>
  <si>
    <t>001.002.2941</t>
  </si>
  <si>
    <t>Tecno Pova 6 5G 256GB</t>
  </si>
  <si>
    <t>Honor X6d 5G 256GB</t>
  </si>
  <si>
    <t>Redmi 15 5G 256GB Gray S/C</t>
  </si>
  <si>
    <t>Redmi 15 5G 256GB Black S/C</t>
  </si>
  <si>
    <t>001.002.2937</t>
  </si>
  <si>
    <t>001.002.2938</t>
  </si>
  <si>
    <t>Xiaomi 17 5G 512GB Black</t>
  </si>
  <si>
    <t>001.002.2935</t>
  </si>
  <si>
    <t>Xiaomi 17 5G 512GB Green</t>
  </si>
  <si>
    <t>001.002.2936</t>
  </si>
  <si>
    <t>Xiaomi 17 Ultra 5G 512GB Black</t>
  </si>
  <si>
    <t>001.002.2933</t>
  </si>
  <si>
    <t>Xiaomi 17 Ultra 5G 512GB Green</t>
  </si>
  <si>
    <t>001.002.2934</t>
  </si>
  <si>
    <t>Apple AirTag 2da Gen</t>
  </si>
  <si>
    <t>001.007.0377</t>
  </si>
  <si>
    <t>Apple AirTag 2da Gen pack 4</t>
  </si>
  <si>
    <t>001.007.0378</t>
  </si>
  <si>
    <t>Honor Choice X7 Lite</t>
  </si>
  <si>
    <t>001.007.0306</t>
  </si>
  <si>
    <t>HONOR Choice Watch 2i</t>
  </si>
  <si>
    <t>001.007.0379</t>
  </si>
  <si>
    <t>Sony Audifonos WI C100 Black</t>
  </si>
  <si>
    <t>001.007.0382</t>
  </si>
  <si>
    <t>Sony Audifonos Headphones WH CH520 Rosa</t>
  </si>
  <si>
    <t>001.007.0383</t>
  </si>
  <si>
    <t>Sony Audifonos Headphones WH CH720 Black</t>
  </si>
  <si>
    <t>001.007.0384</t>
  </si>
  <si>
    <t>Sony Audifono WHULT900 Black</t>
  </si>
  <si>
    <t>001.007.0385</t>
  </si>
  <si>
    <t>Xiaomi 17 Ultra 5G 512GB</t>
  </si>
  <si>
    <t>Xiaomi 17 5G 512GB</t>
  </si>
  <si>
    <t>Infinix Note 50s 5G 256GB</t>
  </si>
  <si>
    <t>Samsung Galaxy A07 4G 128GB</t>
  </si>
  <si>
    <t>Samsung Galaxy A07 5G 128GB</t>
  </si>
  <si>
    <t>Samsung Galaxy A37 5G 128GB</t>
  </si>
  <si>
    <t>Samsung Galaxy A37 5G 256GB</t>
  </si>
  <si>
    <t>Samsung Galaxy A57 5G 128GB</t>
  </si>
  <si>
    <t>Samsung Galaxy S26 Ultra 5G 256GB</t>
  </si>
  <si>
    <t>Samsung Galaxy S26 5G 256GB</t>
  </si>
  <si>
    <t>Samsung Galaxy A57 5G 256GB</t>
  </si>
  <si>
    <t>Samsung Galaxy S26 5G 512GB</t>
  </si>
  <si>
    <t>Samsung Galaxy S26 Ultra 5G 512GB</t>
  </si>
  <si>
    <t>Samsung Galaxy S25 FE 5G 256GB</t>
  </si>
  <si>
    <t>Motorola Edge 70 Fusion 5G 256GB</t>
  </si>
  <si>
    <t>Motorola Edge 70 5G 512GB</t>
  </si>
  <si>
    <t>Motorola Signature 5G 1TB</t>
  </si>
  <si>
    <t>Samsung Galaxy S26+ 5G 256GB</t>
  </si>
  <si>
    <t>Infinix Note 50s 5G 256GB Red</t>
  </si>
  <si>
    <t>Infinix Note 50s 5G 256GB Grey</t>
  </si>
  <si>
    <t>Samsung Galaxy A07 4G 128GB Black</t>
  </si>
  <si>
    <t>Samsung Galaxy A07 5G 128GB Black</t>
  </si>
  <si>
    <t>Samsung Galaxy A37 5G 128GB Dark Green</t>
  </si>
  <si>
    <t>Samsung Galaxy A37 5G 256GB Dark Green</t>
  </si>
  <si>
    <t>Samsung Galaxy A57 5G 128GB Gray</t>
  </si>
  <si>
    <t>Samsung Galaxy S26 Ultra 5G 256GB Black</t>
  </si>
  <si>
    <t>Samsung Galaxy S26 5G 256GB Sky Blue</t>
  </si>
  <si>
    <t>Samsung Galaxy A57 5G 256GB Gray</t>
  </si>
  <si>
    <t>Samsung Galaxy S26 5G 512GB Violet</t>
  </si>
  <si>
    <t>Samsung Galaxy S26 Ultra 5G 512GB Black</t>
  </si>
  <si>
    <t>Samsung Galaxy S26 Plus 5G 256GB Violet</t>
  </si>
  <si>
    <t>Samsung Galaxy S25 FE 5G 128GB Jet Black</t>
  </si>
  <si>
    <t>Samsung Galaxy S25 FE 5G 256GB Jet Black</t>
  </si>
  <si>
    <t>Motorola Edge 70 Fusion 5G 256GB Gris</t>
  </si>
  <si>
    <t>Motorola Edge 70 Fusion 5G 256GB Celeste</t>
  </si>
  <si>
    <t>Motorola Edge 70 5G 512GB Gris</t>
  </si>
  <si>
    <t>Motorola Signature 5G 1TB Gris</t>
  </si>
  <si>
    <t>Motorola Edge 60 Pro 5G 512GB Madera</t>
  </si>
  <si>
    <t>001.002.2950</t>
  </si>
  <si>
    <t>001.002.2951</t>
  </si>
  <si>
    <t>001.002.2952</t>
  </si>
  <si>
    <t>001.002.2953</t>
  </si>
  <si>
    <t>001.002.2954</t>
  </si>
  <si>
    <t>001.002.2955</t>
  </si>
  <si>
    <t>001.002.2956</t>
  </si>
  <si>
    <t>001.002.2957</t>
  </si>
  <si>
    <t>001.002.2958</t>
  </si>
  <si>
    <t>001.002.2959</t>
  </si>
  <si>
    <t>001.002.2960</t>
  </si>
  <si>
    <t>001.002.2961</t>
  </si>
  <si>
    <t>001.002.2962</t>
  </si>
  <si>
    <t>001.002.2964</t>
  </si>
  <si>
    <t>001.002.2965</t>
  </si>
  <si>
    <t>001.002.2966</t>
  </si>
  <si>
    <t>001.002.2967</t>
  </si>
  <si>
    <t>001.002.2968</t>
  </si>
  <si>
    <t>001.002.2969</t>
  </si>
  <si>
    <t>001.002.2970</t>
  </si>
  <si>
    <t>Samsung Galaxy S25 FE 5G 256GB Dark Blue</t>
  </si>
  <si>
    <t>001.002.2849</t>
  </si>
  <si>
    <t>Samsung Galaxy S26 Ultra 5G 256GB Violet</t>
  </si>
  <si>
    <t>001.002.2973</t>
  </si>
  <si>
    <t>HONOR Earbuds 4</t>
  </si>
  <si>
    <t>001.007.0380</t>
  </si>
  <si>
    <t>Huawei Freebuds 7i Black</t>
  </si>
  <si>
    <t>001.007.0390</t>
  </si>
  <si>
    <t>Huawei Freeclip 2 Black</t>
  </si>
  <si>
    <t>001.007.0374</t>
  </si>
  <si>
    <t>Huawei Band 10 Black</t>
  </si>
  <si>
    <t>001.007.0392</t>
  </si>
  <si>
    <t>Huawei Band 10 Pink</t>
  </si>
  <si>
    <t>001.007.0391</t>
  </si>
  <si>
    <t>Honor X9c Smart 5G 256GB</t>
  </si>
  <si>
    <t>Samsung Galaxy Z Fold 7 5G 256GB</t>
  </si>
  <si>
    <t>001.002.2963</t>
  </si>
  <si>
    <t>Samsung Galaxy Z Fold 7 5G 256GB Blue</t>
  </si>
  <si>
    <t>ZTE Nubia Neo 5 5G 256GB Black</t>
  </si>
  <si>
    <t>ZTE Nubia Neo 5 5G 256GB Gold</t>
  </si>
  <si>
    <t>001.002.2971</t>
  </si>
  <si>
    <t>001.002.2972</t>
  </si>
  <si>
    <t>001.002.2974</t>
  </si>
  <si>
    <t>ZTE Blade A76 5G 128GB Black</t>
  </si>
  <si>
    <t>ZTE Blade A76 5G 128GB</t>
  </si>
  <si>
    <t>ZTE Nubia Neo 5 5G 256GB</t>
  </si>
  <si>
    <t>Huawei Fit 5 Purple</t>
  </si>
  <si>
    <t>001.007.0394</t>
  </si>
  <si>
    <t>Huawei Fit 5 Black</t>
  </si>
  <si>
    <t>001.007.0395</t>
  </si>
  <si>
    <t>Huawei Fit 5 Pro Black</t>
  </si>
  <si>
    <t>001.007.0396</t>
  </si>
  <si>
    <t>Huawei Fit 5 Pro Orange</t>
  </si>
  <si>
    <t>001.007.0397</t>
  </si>
  <si>
    <t>Motorola Moto Buds 2 Plus Sound By Bose</t>
  </si>
  <si>
    <t>001.007.0393</t>
  </si>
  <si>
    <t>Sei Robotic</t>
  </si>
  <si>
    <t>OTT STB 4K ATV SEI500W</t>
  </si>
  <si>
    <t>001.004.0003</t>
  </si>
  <si>
    <t>OTT</t>
  </si>
  <si>
    <t>Xiaomi Sound Outdoor 30W Gold</t>
  </si>
  <si>
    <t>001.007.0387</t>
  </si>
  <si>
    <t>Xiaomi Sound Outdoor 30W Green</t>
  </si>
  <si>
    <t>001.007.0388</t>
  </si>
  <si>
    <t>Xiaomi Sound Pocket 5W Rosado</t>
  </si>
  <si>
    <t>001.007.0386</t>
  </si>
  <si>
    <t>Xiaomi Mi Vacuum Cleaner Mini</t>
  </si>
  <si>
    <t>001.007.0375</t>
  </si>
  <si>
    <t>Xiaomi Smart Air Purifier 4 compact EU</t>
  </si>
  <si>
    <t>001.007.0398</t>
  </si>
  <si>
    <t>Xiaomi Smart Pet Food Feeder 2 EU</t>
  </si>
  <si>
    <t>001.007.0399</t>
  </si>
  <si>
    <t>Xiaomi Smart Pet Fountain 2 EU</t>
  </si>
  <si>
    <t>001.007.0400</t>
  </si>
  <si>
    <t>Xiaomi Smart Doorbell 3S</t>
  </si>
  <si>
    <t>001.007.0401</t>
  </si>
  <si>
    <t>Xiaomi Self Install Smart Lock</t>
  </si>
  <si>
    <t>001.007.0402</t>
  </si>
  <si>
    <t>Xiaomi Robot Vacumm S40 EU</t>
  </si>
  <si>
    <t>001.007.0389</t>
  </si>
  <si>
    <t>$1.400</t>
  </si>
  <si>
    <t>$2.000</t>
  </si>
  <si>
    <t>$2.500</t>
  </si>
  <si>
    <t>$3.500</t>
  </si>
  <si>
    <t>$5.000</t>
  </si>
  <si>
    <t>$8.000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</si>
</sst>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;[Red]&quot;$&quot;\-#,##0"/>
    <numFmt numFmtId="165" formatCode="_ &quot;$&quot;* #,##0_ ;_ &quot;$&quot;* \-#,##0_ ;_ &quot;$&quot;* &quot;-&quot;_ ;_ @_ "/>
    <numFmt numFmtId="166" formatCode="_ * #,##0_ ;_ * \-#,##0_ ;_ * &quot;-&quot;_ ;_ @_ "/>
    <numFmt numFmtId="167" formatCode="d\.m\.yyyy"/>
    <numFmt numFmtId="168" formatCode="&quot;$&quot;#,##0"/>
  </numFmts>
  <fonts count="23" x14ac:knownFonts="1">
    <font>
      <sz val="11"/>
      <color rgb="FF000000"/>
      <name val="Calibri"/>
      <scheme val="minor"/>
    </font>
    <font>
      <b/>
      <sz val="9"/>
      <color rgb="FF4E008E"/>
      <name val="Calibri"/>
      <family val="2"/>
    </font>
    <font>
      <sz val="9"/>
      <color rgb="FF4E008E"/>
      <name val="Calibri"/>
      <family val="2"/>
    </font>
    <font>
      <sz val="11"/>
      <name val="Calibri"/>
      <family val="2"/>
    </font>
    <font>
      <sz val="8"/>
      <color theme="0"/>
      <name val="Calibri"/>
      <family val="2"/>
    </font>
    <font>
      <sz val="10"/>
      <color theme="0"/>
      <name val="Calibri"/>
      <family val="2"/>
    </font>
    <font>
      <sz val="11"/>
      <color rgb="FF000000"/>
      <name val="Calibri"/>
      <family val="2"/>
    </font>
    <font>
      <sz val="10"/>
      <color rgb="FF4E008E"/>
      <name val="Calibri"/>
      <family val="2"/>
    </font>
    <font>
      <sz val="11"/>
      <color rgb="FF4E008E"/>
      <name val="Calibri"/>
      <family val="2"/>
    </font>
    <font>
      <sz val="9"/>
      <color theme="0"/>
      <name val="Calibri"/>
      <family val="2"/>
    </font>
    <font>
      <sz val="11"/>
      <color theme="0"/>
      <name val="Calibri"/>
      <family val="2"/>
    </font>
    <font>
      <b/>
      <sz val="8"/>
      <color theme="0"/>
      <name val="Calibri"/>
      <family val="2"/>
    </font>
    <font>
      <sz val="8"/>
      <color rgb="FF4E008E"/>
      <name val="Calibri"/>
      <family val="2"/>
    </font>
    <font>
      <sz val="7"/>
      <color rgb="FF4E008E"/>
      <name val="Calibri"/>
      <family val="2"/>
    </font>
    <font>
      <b/>
      <sz val="8"/>
      <color rgb="FF4E008E"/>
      <name val="Calibri"/>
      <family val="2"/>
    </font>
    <font>
      <sz val="8"/>
      <color rgb="FF000000"/>
      <name val="Calibri"/>
      <family val="2"/>
    </font>
    <font>
      <b/>
      <sz val="9"/>
      <color theme="0"/>
      <name val="Calibri"/>
      <family val="2"/>
    </font>
    <font>
      <i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rgb="FF4E008E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E1483"/>
        <bgColor rgb="FFCE1483"/>
      </patternFill>
    </fill>
    <fill>
      <patternFill patternType="solid">
        <fgColor rgb="FF4E008E"/>
        <bgColor rgb="FF4E008E"/>
      </patternFill>
    </fill>
    <fill>
      <patternFill patternType="solid">
        <fgColor rgb="FFFFFFFF"/>
        <bgColor rgb="FFFFFFFF"/>
      </patternFill>
    </fill>
    <fill>
      <patternFill patternType="solid">
        <fgColor rgb="FF42145F"/>
        <bgColor rgb="FF42145F"/>
      </patternFill>
    </fill>
    <fill>
      <patternFill patternType="solid">
        <fgColor rgb="FFCE1483"/>
        <bgColor indexed="64"/>
      </patternFill>
    </fill>
    <fill>
      <patternFill patternType="solid">
        <fgColor rgb="FF4E008E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9">
    <xf numFmtId="0" fontId="0" fillId="0" borderId="0"/>
    <xf numFmtId="0" fontId="18" fillId="0" borderId="23"/>
    <xf numFmtId="166" fontId="18" fillId="0" borderId="23" applyFont="0" applyFill="0" applyBorder="0" applyAlignment="0" applyProtection="0"/>
    <xf numFmtId="166" fontId="18" fillId="0" borderId="23" applyFont="0" applyFill="0" applyBorder="0" applyAlignment="0" applyProtection="0"/>
    <xf numFmtId="165" fontId="18" fillId="0" borderId="23" applyFont="0" applyFill="0" applyBorder="0" applyAlignment="0" applyProtection="0"/>
    <xf numFmtId="165" fontId="18" fillId="0" borderId="23" applyFont="0" applyFill="0" applyBorder="0" applyAlignment="0" applyProtection="0"/>
    <xf numFmtId="0" fontId="18" fillId="0" borderId="23"/>
    <xf numFmtId="0" fontId="21" fillId="0" borderId="23"/>
    <xf numFmtId="9" fontId="18" fillId="0" borderId="23" applyFont="0" applyFill="0" applyBorder="0" applyAlignment="0" applyProtection="0"/>
  </cellStyleXfs>
  <cellXfs count="87">
    <xf numFmtId="0" fontId="0" fillId="0" borderId="0" xfId="0"/>
    <xf numFmtId="49" fontId="4" fillId="3" borderId="2" xfId="0" applyNumberFormat="1" applyFont="1" applyFill="1" applyBorder="1" applyAlignment="1">
      <alignment horizontal="center" vertical="center"/>
    </xf>
    <xf numFmtId="168" fontId="5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49" fontId="4" fillId="4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/>
    <xf numFmtId="49" fontId="5" fillId="4" borderId="6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/>
    <xf numFmtId="168" fontId="9" fillId="4" borderId="2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168" fontId="9" fillId="3" borderId="2" xfId="0" applyNumberFormat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 wrapText="1"/>
    </xf>
    <xf numFmtId="49" fontId="4" fillId="6" borderId="14" xfId="0" applyNumberFormat="1" applyFont="1" applyFill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4" fillId="4" borderId="15" xfId="0" applyNumberFormat="1" applyFont="1" applyFill="1" applyBorder="1" applyAlignment="1">
      <alignment horizontal="center" vertical="center" wrapText="1"/>
    </xf>
    <xf numFmtId="49" fontId="4" fillId="3" borderId="16" xfId="0" applyNumberFormat="1" applyFont="1" applyFill="1" applyBorder="1" applyAlignment="1">
      <alignment horizontal="center" vertical="center" wrapText="1"/>
    </xf>
    <xf numFmtId="49" fontId="4" fillId="3" borderId="14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2" fillId="0" borderId="17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4" fillId="2" borderId="1" xfId="0" applyNumberFormat="1" applyFont="1" applyFill="1" applyBorder="1" applyAlignment="1">
      <alignment vertical="center" wrapText="1"/>
    </xf>
    <xf numFmtId="167" fontId="14" fillId="2" borderId="1" xfId="0" applyNumberFormat="1" applyFont="1" applyFill="1" applyBorder="1" applyAlignment="1">
      <alignment horizontal="left" vertical="center" wrapText="1"/>
    </xf>
    <xf numFmtId="0" fontId="15" fillId="0" borderId="0" xfId="0" applyFont="1"/>
    <xf numFmtId="168" fontId="4" fillId="4" borderId="2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left" vertical="center" wrapText="1"/>
    </xf>
    <xf numFmtId="168" fontId="4" fillId="3" borderId="2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168" fontId="4" fillId="4" borderId="6" xfId="0" applyNumberFormat="1" applyFont="1" applyFill="1" applyBorder="1" applyAlignment="1">
      <alignment horizontal="center" vertical="center"/>
    </xf>
    <xf numFmtId="168" fontId="4" fillId="3" borderId="6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vertical="center" wrapText="1"/>
    </xf>
    <xf numFmtId="49" fontId="16" fillId="3" borderId="2" xfId="0" applyNumberFormat="1" applyFont="1" applyFill="1" applyBorder="1" applyAlignment="1">
      <alignment horizontal="left" vertical="center"/>
    </xf>
    <xf numFmtId="168" fontId="7" fillId="0" borderId="2" xfId="0" applyNumberFormat="1" applyFont="1" applyBorder="1" applyAlignment="1">
      <alignment horizontal="center"/>
    </xf>
    <xf numFmtId="168" fontId="5" fillId="3" borderId="2" xfId="0" applyNumberFormat="1" applyFont="1" applyFill="1" applyBorder="1" applyAlignment="1">
      <alignment horizontal="center"/>
    </xf>
    <xf numFmtId="168" fontId="2" fillId="0" borderId="7" xfId="0" applyNumberFormat="1" applyFont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168" fontId="19" fillId="0" borderId="24" xfId="0" applyNumberFormat="1" applyFont="1" applyBorder="1" applyAlignment="1">
      <alignment horizontal="center"/>
    </xf>
    <xf numFmtId="0" fontId="20" fillId="5" borderId="25" xfId="6" applyFont="1" applyFill="1" applyBorder="1" applyAlignment="1">
      <alignment horizontal="center" vertical="center" wrapText="1"/>
    </xf>
    <xf numFmtId="0" fontId="20" fillId="5" borderId="2" xfId="6" applyFont="1" applyFill="1" applyBorder="1" applyAlignment="1">
      <alignment horizontal="center" vertical="center"/>
    </xf>
    <xf numFmtId="49" fontId="20" fillId="0" borderId="2" xfId="6" applyNumberFormat="1" applyFont="1" applyBorder="1" applyAlignment="1">
      <alignment horizontal="center" vertical="center" wrapText="1"/>
    </xf>
    <xf numFmtId="0" fontId="20" fillId="0" borderId="2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 wrapText="1"/>
    </xf>
    <xf numFmtId="9" fontId="20" fillId="0" borderId="2" xfId="6" applyNumberFormat="1" applyFont="1" applyBorder="1" applyAlignment="1">
      <alignment horizontal="center" vertical="center" wrapText="1"/>
    </xf>
    <xf numFmtId="164" fontId="20" fillId="0" borderId="26" xfId="6" applyNumberFormat="1" applyFont="1" applyBorder="1" applyAlignment="1">
      <alignment horizontal="center" vertical="center" wrapText="1"/>
    </xf>
    <xf numFmtId="0" fontId="20" fillId="0" borderId="25" xfId="6" applyFont="1" applyBorder="1" applyAlignment="1">
      <alignment horizontal="center" vertical="center" wrapText="1"/>
    </xf>
    <xf numFmtId="0" fontId="20" fillId="0" borderId="27" xfId="6" applyFont="1" applyBorder="1" applyAlignment="1">
      <alignment horizontal="center" vertical="center" wrapText="1"/>
    </xf>
    <xf numFmtId="0" fontId="20" fillId="0" borderId="28" xfId="6" applyFont="1" applyBorder="1" applyAlignment="1">
      <alignment horizontal="center" vertical="center"/>
    </xf>
    <xf numFmtId="49" fontId="20" fillId="0" borderId="28" xfId="6" applyNumberFormat="1" applyFont="1" applyBorder="1" applyAlignment="1">
      <alignment horizontal="center" vertical="center" wrapText="1"/>
    </xf>
    <xf numFmtId="0" fontId="20" fillId="0" borderId="28" xfId="6" applyFont="1" applyBorder="1" applyAlignment="1">
      <alignment horizontal="center" vertical="center" wrapText="1"/>
    </xf>
    <xf numFmtId="165" fontId="20" fillId="0" borderId="2" xfId="5" applyFont="1" applyBorder="1" applyAlignment="1">
      <alignment horizontal="center" vertical="center" wrapText="1"/>
    </xf>
    <xf numFmtId="165" fontId="20" fillId="0" borderId="28" xfId="5" applyFont="1" applyBorder="1" applyAlignment="1">
      <alignment horizontal="center" vertical="center" wrapText="1"/>
    </xf>
    <xf numFmtId="164" fontId="20" fillId="0" borderId="2" xfId="6" applyNumberFormat="1" applyFont="1" applyBorder="1" applyAlignment="1">
      <alignment horizontal="center" vertical="center" wrapText="1"/>
    </xf>
    <xf numFmtId="164" fontId="22" fillId="7" borderId="2" xfId="6" applyNumberFormat="1" applyFont="1" applyFill="1" applyBorder="1" applyAlignment="1">
      <alignment horizontal="center" vertical="center" wrapText="1"/>
    </xf>
    <xf numFmtId="164" fontId="22" fillId="8" borderId="2" xfId="6" applyNumberFormat="1" applyFont="1" applyFill="1" applyBorder="1" applyAlignment="1">
      <alignment horizontal="center" vertical="center" wrapText="1"/>
    </xf>
    <xf numFmtId="164" fontId="20" fillId="0" borderId="28" xfId="6" applyNumberFormat="1" applyFont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/>
    </xf>
    <xf numFmtId="165" fontId="22" fillId="8" borderId="2" xfId="6" applyNumberFormat="1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11" fillId="3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49" fontId="4" fillId="6" borderId="7" xfId="0" applyNumberFormat="1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1" fontId="4" fillId="4" borderId="3" xfId="0" applyNumberFormat="1" applyFont="1" applyFill="1" applyBorder="1" applyAlignment="1">
      <alignment horizontal="center" vertical="center" wrapText="1"/>
    </xf>
    <xf numFmtId="0" fontId="3" fillId="0" borderId="12" xfId="0" applyFont="1" applyBorder="1"/>
    <xf numFmtId="49" fontId="4" fillId="3" borderId="7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3" fillId="0" borderId="10" xfId="0" applyFont="1" applyBorder="1"/>
    <xf numFmtId="0" fontId="4" fillId="3" borderId="18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2" xfId="0" applyFont="1" applyBorder="1"/>
    <xf numFmtId="0" fontId="4" fillId="3" borderId="3" xfId="0" applyFont="1" applyFill="1" applyBorder="1" applyAlignment="1">
      <alignment horizontal="center" vertical="center"/>
    </xf>
  </cellXfs>
  <cellStyles count="9">
    <cellStyle name="Comma [0] 10" xfId="2" xr:uid="{00000000-0005-0000-0000-000000000000}"/>
    <cellStyle name="Currency [0] 2" xfId="4" xr:uid="{00000000-0005-0000-0000-000001000000}"/>
    <cellStyle name="Millares [0] 2" xfId="3" xr:uid="{00000000-0005-0000-0000-000002000000}"/>
    <cellStyle name="Moneda [0] 2" xfId="5" xr:uid="{00000000-0005-0000-0000-000003000000}"/>
    <cellStyle name="Normal" xfId="0" builtinId="0"/>
    <cellStyle name="Normal 2" xfId="1" xr:uid="{00000000-0005-0000-0000-000005000000}"/>
    <cellStyle name="Normal 3" xfId="7" xr:uid="{00000000-0005-0000-0000-000006000000}"/>
    <cellStyle name="Normal 7" xfId="6" xr:uid="{00000000-0005-0000-0000-000007000000}"/>
    <cellStyle name="Porcentaje 2" xfId="8" xr:uid="{00000000-0005-0000-0000-000008000000}"/>
  </cellStyles>
  <dxfs count="42"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FF33CC"/>
          <bgColor rgb="FFFF33CC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FF33CC"/>
          <bgColor rgb="FFFF33CC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FF33CC"/>
          <bgColor rgb="FFFF33CC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FF33CC"/>
          <bgColor rgb="FFFF33CC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FF33CC"/>
          <bgColor rgb="FFFF33CC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FF33CC"/>
          <bgColor rgb="FFFF33CC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FF33CC"/>
          <bgColor rgb="FFFF33CC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FF33CC"/>
          <bgColor rgb="FFFF33CC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CC3399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CC3399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CC3399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CC3399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CC33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  <color rgb="FFFFFFFF"/>
      <color rgb="FF3D015F"/>
      <color rgb="FFCC0099"/>
      <color rgb="FF993366"/>
      <color rgb="FFCE14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99"/>
    <pageSetUpPr fitToPage="1"/>
  </sheetPr>
  <dimension ref="A1:Y997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5" sqref="A5"/>
      <selection pane="bottomRight" activeCell="B4" sqref="B4"/>
    </sheetView>
  </sheetViews>
  <sheetFormatPr baseColWidth="10" defaultColWidth="14.5" defaultRowHeight="15" customHeight="1" x14ac:dyDescent="0.2"/>
  <cols>
    <col min="1" max="1" width="11.1640625" customWidth="1"/>
    <col min="2" max="2" width="41.5" customWidth="1"/>
    <col min="3" max="3" width="11.83203125" customWidth="1"/>
    <col min="4" max="4" width="18.83203125" customWidth="1"/>
    <col min="5" max="5" width="14.6640625" bestFit="1" customWidth="1"/>
    <col min="6" max="7" width="17.5" customWidth="1"/>
    <col min="8" max="8" width="16.5" customWidth="1"/>
    <col min="9" max="9" width="29.5" customWidth="1"/>
    <col min="10" max="10" width="1.83203125" customWidth="1"/>
    <col min="11" max="11" width="4.83203125" customWidth="1"/>
    <col min="12" max="12" width="11.83203125" customWidth="1"/>
  </cols>
  <sheetData>
    <row r="1" spans="1:25" x14ac:dyDescent="0.2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7" t="s">
        <v>10</v>
      </c>
      <c r="G1" s="7" t="s">
        <v>11</v>
      </c>
      <c r="H1" s="8" t="s">
        <v>12</v>
      </c>
      <c r="I1" s="9" t="s">
        <v>13</v>
      </c>
      <c r="J1" s="5"/>
      <c r="K1" s="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">
      <c r="A2" s="58" t="s">
        <v>14</v>
      </c>
      <c r="B2" s="54" t="s">
        <v>35</v>
      </c>
      <c r="C2" s="53" t="s">
        <v>36</v>
      </c>
      <c r="D2" s="54" t="s">
        <v>749</v>
      </c>
      <c r="E2" s="55" t="s">
        <v>26</v>
      </c>
      <c r="F2" s="65">
        <v>229990</v>
      </c>
      <c r="G2" s="56">
        <v>-0.23334111137037905</v>
      </c>
      <c r="H2" s="63">
        <v>299990</v>
      </c>
      <c r="I2" s="57">
        <v>19165.833333333332</v>
      </c>
      <c r="J2" s="10"/>
      <c r="K2" s="1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">
      <c r="A3" s="58" t="s">
        <v>14</v>
      </c>
      <c r="B3" s="54" t="s">
        <v>29</v>
      </c>
      <c r="C3" s="53" t="s">
        <v>30</v>
      </c>
      <c r="D3" s="54" t="s">
        <v>17</v>
      </c>
      <c r="E3" s="55" t="s">
        <v>26</v>
      </c>
      <c r="F3" s="65">
        <v>149990</v>
      </c>
      <c r="G3" s="56">
        <v>-0.25001250062503122</v>
      </c>
      <c r="H3" s="63">
        <v>199990</v>
      </c>
      <c r="I3" s="57">
        <v>12499.166666666666</v>
      </c>
      <c r="J3" s="10"/>
      <c r="K3" s="10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">
      <c r="A4" s="58" t="s">
        <v>14</v>
      </c>
      <c r="B4" s="54" t="s">
        <v>27</v>
      </c>
      <c r="C4" s="53" t="s">
        <v>28</v>
      </c>
      <c r="D4" s="54" t="s">
        <v>17</v>
      </c>
      <c r="E4" s="55" t="s">
        <v>26</v>
      </c>
      <c r="F4" s="65">
        <v>199990</v>
      </c>
      <c r="G4" s="56">
        <v>-0.33334444481482717</v>
      </c>
      <c r="H4" s="63">
        <v>299990</v>
      </c>
      <c r="I4" s="57">
        <v>16665.833333333332</v>
      </c>
      <c r="J4" s="10"/>
      <c r="K4" s="10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">
      <c r="A5" s="51" t="s">
        <v>14</v>
      </c>
      <c r="B5" s="52" t="s">
        <v>24</v>
      </c>
      <c r="C5" s="53" t="s">
        <v>25</v>
      </c>
      <c r="D5" s="54" t="s">
        <v>17</v>
      </c>
      <c r="E5" s="55" t="s">
        <v>26</v>
      </c>
      <c r="F5" s="65">
        <v>20990</v>
      </c>
      <c r="G5" s="56">
        <v>-0.30010003334444812</v>
      </c>
      <c r="H5" s="63">
        <v>29990</v>
      </c>
      <c r="I5" s="57">
        <v>1749.1666666666667</v>
      </c>
      <c r="J5" s="10"/>
      <c r="K5" s="10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">
      <c r="A6" s="58" t="s">
        <v>14</v>
      </c>
      <c r="B6" s="54" t="s">
        <v>193</v>
      </c>
      <c r="C6" s="53" t="s">
        <v>194</v>
      </c>
      <c r="D6" s="54" t="s">
        <v>195</v>
      </c>
      <c r="E6" s="55" t="s">
        <v>26</v>
      </c>
      <c r="F6" s="65">
        <v>39990</v>
      </c>
      <c r="G6" s="56">
        <v>-0.60006000600060005</v>
      </c>
      <c r="H6" s="63">
        <v>99990</v>
      </c>
      <c r="I6" s="57">
        <v>3332.5</v>
      </c>
      <c r="J6" s="10"/>
      <c r="K6" s="10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58" t="s">
        <v>14</v>
      </c>
      <c r="B7" s="54" t="s">
        <v>39</v>
      </c>
      <c r="C7" s="53" t="s">
        <v>40</v>
      </c>
      <c r="D7" s="54" t="s">
        <v>17</v>
      </c>
      <c r="E7" s="55" t="s">
        <v>26</v>
      </c>
      <c r="F7" s="65">
        <v>279990</v>
      </c>
      <c r="G7" s="56">
        <v>-0.2000057144489843</v>
      </c>
      <c r="H7" s="63">
        <v>349990</v>
      </c>
      <c r="I7" s="57">
        <v>23332.5</v>
      </c>
      <c r="J7" s="10"/>
      <c r="K7" s="10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51" t="s">
        <v>14</v>
      </c>
      <c r="B8" s="52" t="s">
        <v>33</v>
      </c>
      <c r="C8" s="53" t="s">
        <v>34</v>
      </c>
      <c r="D8" s="54" t="s">
        <v>17</v>
      </c>
      <c r="E8" s="55" t="s">
        <v>26</v>
      </c>
      <c r="F8" s="65">
        <v>20990</v>
      </c>
      <c r="G8" s="56">
        <v>-0.30010003334444812</v>
      </c>
      <c r="H8" s="63">
        <v>29990</v>
      </c>
      <c r="I8" s="57">
        <v>1749.1666666666667</v>
      </c>
      <c r="J8" s="10"/>
      <c r="K8" s="10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51" t="s">
        <v>14</v>
      </c>
      <c r="B9" s="52" t="s">
        <v>31</v>
      </c>
      <c r="C9" s="53" t="s">
        <v>32</v>
      </c>
      <c r="D9" s="54" t="s">
        <v>17</v>
      </c>
      <c r="E9" s="55" t="s">
        <v>21</v>
      </c>
      <c r="F9" s="65">
        <v>22990</v>
      </c>
      <c r="G9" s="56">
        <v>-0.23341113704568195</v>
      </c>
      <c r="H9" s="63">
        <v>29990</v>
      </c>
      <c r="I9" s="57">
        <v>1915.8333333333333</v>
      </c>
      <c r="J9" s="10"/>
      <c r="K9" s="10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51" t="s">
        <v>14</v>
      </c>
      <c r="B10" s="52" t="s">
        <v>19</v>
      </c>
      <c r="C10" s="53" t="s">
        <v>20</v>
      </c>
      <c r="D10" s="54" t="s">
        <v>17</v>
      </c>
      <c r="E10" s="55" t="s">
        <v>21</v>
      </c>
      <c r="F10" s="65">
        <v>20990</v>
      </c>
      <c r="G10" s="56">
        <v>-0.30010003334444812</v>
      </c>
      <c r="H10" s="63">
        <v>29990</v>
      </c>
      <c r="I10" s="57">
        <v>1749.1666666666667</v>
      </c>
      <c r="J10" s="10"/>
      <c r="K10" s="10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">
      <c r="A11" s="51" t="s">
        <v>14</v>
      </c>
      <c r="B11" s="52" t="s">
        <v>22</v>
      </c>
      <c r="C11" s="53" t="s">
        <v>23</v>
      </c>
      <c r="D11" s="54" t="s">
        <v>17</v>
      </c>
      <c r="E11" s="55" t="s">
        <v>21</v>
      </c>
      <c r="F11" s="65">
        <v>20990</v>
      </c>
      <c r="G11" s="56">
        <v>-0.30010003334444812</v>
      </c>
      <c r="H11" s="63">
        <v>29990</v>
      </c>
      <c r="I11" s="57">
        <v>1749.1666666666667</v>
      </c>
      <c r="J11" s="10"/>
      <c r="K11" s="10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 x14ac:dyDescent="0.2">
      <c r="A12" s="51" t="s">
        <v>14</v>
      </c>
      <c r="B12" s="52" t="s">
        <v>37</v>
      </c>
      <c r="C12" s="53" t="s">
        <v>38</v>
      </c>
      <c r="D12" s="54" t="s">
        <v>749</v>
      </c>
      <c r="E12" s="55" t="s">
        <v>18</v>
      </c>
      <c r="F12" s="65">
        <v>89990</v>
      </c>
      <c r="G12" s="56">
        <v>-0.25002083506958916</v>
      </c>
      <c r="H12" s="63">
        <v>119990</v>
      </c>
      <c r="I12" s="57">
        <v>7499.166666666667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">
      <c r="A13" s="51" t="s">
        <v>14</v>
      </c>
      <c r="B13" s="52" t="s">
        <v>15</v>
      </c>
      <c r="C13" s="53" t="s">
        <v>16</v>
      </c>
      <c r="D13" s="54" t="s">
        <v>195</v>
      </c>
      <c r="E13" s="55" t="s">
        <v>18</v>
      </c>
      <c r="F13" s="65">
        <v>26990</v>
      </c>
      <c r="G13" s="56">
        <v>-0.32508127031757938</v>
      </c>
      <c r="H13" s="63">
        <v>39990</v>
      </c>
      <c r="I13" s="57">
        <v>2249.1666666666665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 x14ac:dyDescent="0.2">
      <c r="A14" s="58" t="s">
        <v>14</v>
      </c>
      <c r="B14" s="54" t="s">
        <v>850</v>
      </c>
      <c r="C14" s="53" t="s">
        <v>851</v>
      </c>
      <c r="D14" s="54" t="s">
        <v>17</v>
      </c>
      <c r="E14" s="55" t="s">
        <v>18</v>
      </c>
      <c r="F14" s="65">
        <v>32990</v>
      </c>
      <c r="G14" s="56">
        <v>0</v>
      </c>
      <c r="H14" s="63">
        <v>32990</v>
      </c>
      <c r="I14" s="57">
        <v>2749.1666666666665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 x14ac:dyDescent="0.2">
      <c r="A15" s="58" t="s">
        <v>14</v>
      </c>
      <c r="B15" s="54" t="s">
        <v>852</v>
      </c>
      <c r="C15" s="53" t="s">
        <v>853</v>
      </c>
      <c r="D15" s="54" t="s">
        <v>17</v>
      </c>
      <c r="E15" s="55" t="s">
        <v>18</v>
      </c>
      <c r="F15" s="66">
        <v>104990</v>
      </c>
      <c r="G15" s="56">
        <v>-5.4058924227407879E-2</v>
      </c>
      <c r="H15" s="63">
        <v>110990</v>
      </c>
      <c r="I15" s="57">
        <v>8749.1666666666661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 x14ac:dyDescent="0.2">
      <c r="A16" s="58" t="s">
        <v>196</v>
      </c>
      <c r="B16" s="54" t="s">
        <v>197</v>
      </c>
      <c r="C16" s="53" t="s">
        <v>198</v>
      </c>
      <c r="D16" s="54" t="s">
        <v>195</v>
      </c>
      <c r="E16" s="55" t="s">
        <v>21</v>
      </c>
      <c r="F16" s="65">
        <v>4990</v>
      </c>
      <c r="G16" s="56">
        <v>-0.8336112037345782</v>
      </c>
      <c r="H16" s="63">
        <v>29990</v>
      </c>
      <c r="I16" s="57">
        <v>415.83333333333331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 x14ac:dyDescent="0.2">
      <c r="A17" s="58" t="s">
        <v>199</v>
      </c>
      <c r="B17" s="54" t="s">
        <v>200</v>
      </c>
      <c r="C17" s="53" t="s">
        <v>201</v>
      </c>
      <c r="D17" s="54" t="s">
        <v>195</v>
      </c>
      <c r="E17" s="55" t="s">
        <v>26</v>
      </c>
      <c r="F17" s="65">
        <v>2990</v>
      </c>
      <c r="G17" s="56">
        <v>-0.90030010003334449</v>
      </c>
      <c r="H17" s="63">
        <v>29990</v>
      </c>
      <c r="I17" s="57">
        <v>249.16666666666666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 x14ac:dyDescent="0.2">
      <c r="A18" s="58" t="s">
        <v>41</v>
      </c>
      <c r="B18" s="54" t="s">
        <v>202</v>
      </c>
      <c r="C18" s="53" t="s">
        <v>203</v>
      </c>
      <c r="D18" s="54" t="s">
        <v>195</v>
      </c>
      <c r="E18" s="55" t="s">
        <v>26</v>
      </c>
      <c r="F18" s="65">
        <v>99990</v>
      </c>
      <c r="G18" s="56">
        <v>-0.75611600282933733</v>
      </c>
      <c r="H18" s="63">
        <v>409990</v>
      </c>
      <c r="I18" s="57">
        <v>8332.5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 x14ac:dyDescent="0.2">
      <c r="A19" s="51" t="s">
        <v>41</v>
      </c>
      <c r="B19" s="52" t="s">
        <v>42</v>
      </c>
      <c r="C19" s="53" t="s">
        <v>43</v>
      </c>
      <c r="D19" s="54" t="s">
        <v>749</v>
      </c>
      <c r="E19" s="55" t="s">
        <v>26</v>
      </c>
      <c r="F19" s="65">
        <v>119990</v>
      </c>
      <c r="G19" s="56">
        <v>-0.40002000100004997</v>
      </c>
      <c r="H19" s="63">
        <v>199990</v>
      </c>
      <c r="I19" s="57">
        <v>9999.1666666666661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 x14ac:dyDescent="0.2">
      <c r="A20" s="58" t="s">
        <v>204</v>
      </c>
      <c r="B20" s="54" t="s">
        <v>205</v>
      </c>
      <c r="C20" s="53" t="s">
        <v>206</v>
      </c>
      <c r="D20" s="54" t="s">
        <v>195</v>
      </c>
      <c r="E20" s="55" t="s">
        <v>21</v>
      </c>
      <c r="F20" s="65">
        <v>4990</v>
      </c>
      <c r="G20" s="56">
        <v>-0.73723012111637698</v>
      </c>
      <c r="H20" s="63">
        <v>18990</v>
      </c>
      <c r="I20" s="57">
        <v>415.83333333333331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2">
      <c r="A21" s="58" t="s">
        <v>45</v>
      </c>
      <c r="B21" s="54" t="s">
        <v>46</v>
      </c>
      <c r="C21" s="53" t="s">
        <v>47</v>
      </c>
      <c r="D21" s="54" t="s">
        <v>17</v>
      </c>
      <c r="E21" s="55" t="s">
        <v>48</v>
      </c>
      <c r="F21" s="65">
        <v>9990</v>
      </c>
      <c r="G21" s="56">
        <v>-0.5002501250625313</v>
      </c>
      <c r="H21" s="63">
        <v>19990</v>
      </c>
      <c r="I21" s="57">
        <v>832.5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2">
      <c r="A22" s="58" t="s">
        <v>207</v>
      </c>
      <c r="B22" s="54" t="s">
        <v>208</v>
      </c>
      <c r="C22" s="53" t="s">
        <v>209</v>
      </c>
      <c r="D22" s="54" t="s">
        <v>195</v>
      </c>
      <c r="E22" s="55" t="s">
        <v>21</v>
      </c>
      <c r="F22" s="65">
        <v>2990</v>
      </c>
      <c r="G22" s="56">
        <v>-0.8803521408563425</v>
      </c>
      <c r="H22" s="63">
        <v>24990</v>
      </c>
      <c r="I22" s="57">
        <v>249.16666666666666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2">
      <c r="A23" s="58" t="s">
        <v>210</v>
      </c>
      <c r="B23" s="54" t="s">
        <v>215</v>
      </c>
      <c r="C23" s="53" t="s">
        <v>216</v>
      </c>
      <c r="D23" s="54" t="s">
        <v>195</v>
      </c>
      <c r="E23" s="55" t="s">
        <v>26</v>
      </c>
      <c r="F23" s="65">
        <v>7990</v>
      </c>
      <c r="G23" s="56">
        <v>-0.80020005001250316</v>
      </c>
      <c r="H23" s="63">
        <v>39990</v>
      </c>
      <c r="I23" s="57">
        <v>665.83333333333337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2">
      <c r="A24" s="51" t="s">
        <v>210</v>
      </c>
      <c r="B24" s="52" t="s">
        <v>213</v>
      </c>
      <c r="C24" s="53" t="s">
        <v>214</v>
      </c>
      <c r="D24" s="54" t="s">
        <v>195</v>
      </c>
      <c r="E24" s="55" t="s">
        <v>26</v>
      </c>
      <c r="F24" s="65">
        <v>49990</v>
      </c>
      <c r="G24" s="56">
        <v>-0.50005000500050012</v>
      </c>
      <c r="H24" s="63">
        <v>99990</v>
      </c>
      <c r="I24" s="57">
        <v>4165.833333333333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2">
      <c r="A25" s="58" t="s">
        <v>210</v>
      </c>
      <c r="B25" s="54" t="s">
        <v>854</v>
      </c>
      <c r="C25" s="53" t="s">
        <v>855</v>
      </c>
      <c r="D25" s="54" t="s">
        <v>17</v>
      </c>
      <c r="E25" s="55" t="s">
        <v>26</v>
      </c>
      <c r="F25" s="66">
        <v>19990</v>
      </c>
      <c r="G25" s="56">
        <v>-0.50012503125781449</v>
      </c>
      <c r="H25" s="63">
        <v>39990</v>
      </c>
      <c r="I25" s="57">
        <v>1665.8333333333333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2">
      <c r="A26" s="51" t="s">
        <v>210</v>
      </c>
      <c r="B26" s="52" t="s">
        <v>928</v>
      </c>
      <c r="C26" s="53" t="s">
        <v>929</v>
      </c>
      <c r="D26" s="54" t="s">
        <v>17</v>
      </c>
      <c r="E26" s="55" t="s">
        <v>26</v>
      </c>
      <c r="F26" s="66">
        <v>49990</v>
      </c>
      <c r="G26" s="56">
        <v>-0.2857551078725532</v>
      </c>
      <c r="H26" s="63">
        <v>69990</v>
      </c>
      <c r="I26" s="57">
        <v>4165.833333333333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2">
      <c r="A27" s="58" t="s">
        <v>210</v>
      </c>
      <c r="B27" s="54" t="s">
        <v>217</v>
      </c>
      <c r="C27" s="53" t="s">
        <v>218</v>
      </c>
      <c r="D27" s="54" t="s">
        <v>195</v>
      </c>
      <c r="E27" s="55" t="s">
        <v>52</v>
      </c>
      <c r="F27" s="65">
        <v>9990</v>
      </c>
      <c r="G27" s="56">
        <v>-0.80016003200640129</v>
      </c>
      <c r="H27" s="63">
        <v>49990</v>
      </c>
      <c r="I27" s="57">
        <v>832.5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2">
      <c r="A28" s="58" t="s">
        <v>210</v>
      </c>
      <c r="B28" s="54" t="s">
        <v>211</v>
      </c>
      <c r="C28" s="53" t="s">
        <v>212</v>
      </c>
      <c r="D28" s="54" t="s">
        <v>195</v>
      </c>
      <c r="E28" s="55" t="s">
        <v>52</v>
      </c>
      <c r="F28" s="65">
        <v>49990</v>
      </c>
      <c r="G28" s="56">
        <v>-0.50005000500050012</v>
      </c>
      <c r="H28" s="63">
        <v>99990</v>
      </c>
      <c r="I28" s="57">
        <v>4165.833333333333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2">
      <c r="A29" s="58" t="s">
        <v>210</v>
      </c>
      <c r="B29" s="54" t="s">
        <v>856</v>
      </c>
      <c r="C29" s="53" t="s">
        <v>857</v>
      </c>
      <c r="D29" s="54" t="s">
        <v>17</v>
      </c>
      <c r="E29" s="55" t="s">
        <v>52</v>
      </c>
      <c r="F29" s="66">
        <v>29990</v>
      </c>
      <c r="G29" s="56">
        <v>-0.5000833472245374</v>
      </c>
      <c r="H29" s="63">
        <v>59990</v>
      </c>
      <c r="I29" s="57">
        <v>2499.1666666666665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2">
      <c r="A30" s="51" t="s">
        <v>49</v>
      </c>
      <c r="B30" s="52" t="s">
        <v>255</v>
      </c>
      <c r="C30" s="53" t="s">
        <v>256</v>
      </c>
      <c r="D30" s="54" t="s">
        <v>195</v>
      </c>
      <c r="E30" s="55" t="s">
        <v>26</v>
      </c>
      <c r="F30" s="65">
        <v>1990</v>
      </c>
      <c r="G30" s="56">
        <v>-0.97512189023627949</v>
      </c>
      <c r="H30" s="63">
        <v>79990</v>
      </c>
      <c r="I30" s="57">
        <v>165.83333333333334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2">
      <c r="A31" s="58" t="s">
        <v>49</v>
      </c>
      <c r="B31" s="54" t="s">
        <v>245</v>
      </c>
      <c r="C31" s="53" t="s">
        <v>246</v>
      </c>
      <c r="D31" s="54" t="s">
        <v>195</v>
      </c>
      <c r="E31" s="55" t="s">
        <v>26</v>
      </c>
      <c r="F31" s="65">
        <v>19990</v>
      </c>
      <c r="G31" s="56">
        <v>-0.80008000800080015</v>
      </c>
      <c r="H31" s="63">
        <v>99990</v>
      </c>
      <c r="I31" s="57">
        <v>1665.8333333333333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2">
      <c r="A32" s="51" t="s">
        <v>49</v>
      </c>
      <c r="B32" s="52" t="s">
        <v>233</v>
      </c>
      <c r="C32" s="53" t="s">
        <v>234</v>
      </c>
      <c r="D32" s="54" t="s">
        <v>195</v>
      </c>
      <c r="E32" s="55" t="s">
        <v>26</v>
      </c>
      <c r="F32" s="65">
        <v>9990</v>
      </c>
      <c r="G32" s="56">
        <v>-0.85726532361765972</v>
      </c>
      <c r="H32" s="63">
        <v>69990</v>
      </c>
      <c r="I32" s="57">
        <v>832.5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2">
      <c r="A33" s="58" t="s">
        <v>49</v>
      </c>
      <c r="B33" s="54" t="s">
        <v>930</v>
      </c>
      <c r="C33" s="53" t="s">
        <v>931</v>
      </c>
      <c r="D33" s="54" t="s">
        <v>742</v>
      </c>
      <c r="E33" s="55" t="s">
        <v>26</v>
      </c>
      <c r="F33" s="66">
        <v>74990</v>
      </c>
      <c r="G33" s="56">
        <v>-0.31821074643149372</v>
      </c>
      <c r="H33" s="63">
        <v>109990</v>
      </c>
      <c r="I33" s="57">
        <v>6249.166666666667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2">
      <c r="A34" s="58" t="s">
        <v>49</v>
      </c>
      <c r="B34" s="54" t="s">
        <v>73</v>
      </c>
      <c r="C34" s="53" t="s">
        <v>74</v>
      </c>
      <c r="D34" s="54" t="s">
        <v>17</v>
      </c>
      <c r="E34" s="55" t="s">
        <v>26</v>
      </c>
      <c r="F34" s="65">
        <v>119990</v>
      </c>
      <c r="G34" s="56">
        <v>-0.40002000100004997</v>
      </c>
      <c r="H34" s="63">
        <v>199990</v>
      </c>
      <c r="I34" s="57">
        <v>9999.1666666666661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2">
      <c r="A35" s="58" t="s">
        <v>49</v>
      </c>
      <c r="B35" s="54" t="s">
        <v>53</v>
      </c>
      <c r="C35" s="53" t="s">
        <v>54</v>
      </c>
      <c r="D35" s="54" t="s">
        <v>17</v>
      </c>
      <c r="E35" s="55" t="s">
        <v>26</v>
      </c>
      <c r="F35" s="65">
        <v>159990</v>
      </c>
      <c r="G35" s="56">
        <v>-0.20001000050002504</v>
      </c>
      <c r="H35" s="63">
        <v>199990</v>
      </c>
      <c r="I35" s="57">
        <v>13332.5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">
      <c r="A36" s="51" t="s">
        <v>49</v>
      </c>
      <c r="B36" s="52" t="s">
        <v>65</v>
      </c>
      <c r="C36" s="53" t="s">
        <v>66</v>
      </c>
      <c r="D36" s="54" t="s">
        <v>17</v>
      </c>
      <c r="E36" s="55" t="s">
        <v>26</v>
      </c>
      <c r="F36" s="66">
        <v>32990</v>
      </c>
      <c r="G36" s="56">
        <v>-0.4500750125020837</v>
      </c>
      <c r="H36" s="63">
        <v>59990</v>
      </c>
      <c r="I36" s="57">
        <v>2749.1666666666665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">
      <c r="A37" s="51" t="s">
        <v>49</v>
      </c>
      <c r="B37" s="52" t="s">
        <v>67</v>
      </c>
      <c r="C37" s="53" t="s">
        <v>68</v>
      </c>
      <c r="D37" s="54" t="s">
        <v>17</v>
      </c>
      <c r="E37" s="55" t="s">
        <v>26</v>
      </c>
      <c r="F37" s="66">
        <v>32990</v>
      </c>
      <c r="G37" s="56">
        <v>-0.4500750125020837</v>
      </c>
      <c r="H37" s="63">
        <v>59990</v>
      </c>
      <c r="I37" s="57">
        <v>2749.1666666666665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2">
      <c r="A38" s="58" t="s">
        <v>49</v>
      </c>
      <c r="B38" s="54" t="s">
        <v>932</v>
      </c>
      <c r="C38" s="53" t="s">
        <v>933</v>
      </c>
      <c r="D38" s="54" t="s">
        <v>17</v>
      </c>
      <c r="E38" s="55" t="s">
        <v>26</v>
      </c>
      <c r="F38" s="66">
        <v>144990</v>
      </c>
      <c r="G38" s="56">
        <v>-0.27501375068753442</v>
      </c>
      <c r="H38" s="69">
        <v>199990</v>
      </c>
      <c r="I38" s="57">
        <v>12082.5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2">
      <c r="A39" s="58" t="s">
        <v>49</v>
      </c>
      <c r="B39" s="54" t="s">
        <v>55</v>
      </c>
      <c r="C39" s="53" t="s">
        <v>56</v>
      </c>
      <c r="D39" s="54" t="s">
        <v>17</v>
      </c>
      <c r="E39" s="55" t="s">
        <v>26</v>
      </c>
      <c r="F39" s="66">
        <v>144990</v>
      </c>
      <c r="G39" s="56">
        <v>-0.27501375068753442</v>
      </c>
      <c r="H39" s="69">
        <v>199990</v>
      </c>
      <c r="I39" s="57">
        <v>12082.5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">
      <c r="A40" s="51" t="s">
        <v>49</v>
      </c>
      <c r="B40" s="52" t="s">
        <v>235</v>
      </c>
      <c r="C40" s="53" t="s">
        <v>236</v>
      </c>
      <c r="D40" s="54" t="s">
        <v>195</v>
      </c>
      <c r="E40" s="55" t="s">
        <v>26</v>
      </c>
      <c r="F40" s="65">
        <v>19990</v>
      </c>
      <c r="G40" s="56">
        <v>-0.83340278356529707</v>
      </c>
      <c r="H40" s="63">
        <v>119990</v>
      </c>
      <c r="I40" s="57">
        <v>1665.8333333333333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">
      <c r="A41" s="51" t="s">
        <v>49</v>
      </c>
      <c r="B41" s="52" t="s">
        <v>239</v>
      </c>
      <c r="C41" s="53" t="s">
        <v>240</v>
      </c>
      <c r="D41" s="54" t="s">
        <v>195</v>
      </c>
      <c r="E41" s="55" t="s">
        <v>26</v>
      </c>
      <c r="F41" s="65">
        <v>1000</v>
      </c>
      <c r="G41" s="56">
        <v>-0.94997498749374687</v>
      </c>
      <c r="H41" s="63">
        <v>19990</v>
      </c>
      <c r="I41" s="57">
        <v>83.333333333333329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">
      <c r="A42" s="58" t="s">
        <v>49</v>
      </c>
      <c r="B42" s="54" t="s">
        <v>243</v>
      </c>
      <c r="C42" s="53" t="s">
        <v>244</v>
      </c>
      <c r="D42" s="54" t="s">
        <v>195</v>
      </c>
      <c r="E42" s="55" t="s">
        <v>26</v>
      </c>
      <c r="F42" s="65">
        <v>990</v>
      </c>
      <c r="G42" s="56">
        <v>-0.9801960392078416</v>
      </c>
      <c r="H42" s="63">
        <v>49990</v>
      </c>
      <c r="I42" s="57">
        <v>82.5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">
      <c r="A43" s="51" t="s">
        <v>49</v>
      </c>
      <c r="B43" s="52" t="s">
        <v>229</v>
      </c>
      <c r="C43" s="53" t="s">
        <v>230</v>
      </c>
      <c r="D43" s="54" t="s">
        <v>195</v>
      </c>
      <c r="E43" s="55" t="s">
        <v>21</v>
      </c>
      <c r="F43" s="65">
        <v>490</v>
      </c>
      <c r="G43" s="56">
        <v>-0.93867334167709637</v>
      </c>
      <c r="H43" s="63">
        <v>7990</v>
      </c>
      <c r="I43" s="57">
        <v>40.833333333333336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">
      <c r="A44" s="51" t="s">
        <v>49</v>
      </c>
      <c r="B44" s="52" t="s">
        <v>241</v>
      </c>
      <c r="C44" s="53" t="s">
        <v>242</v>
      </c>
      <c r="D44" s="54" t="s">
        <v>195</v>
      </c>
      <c r="E44" s="55" t="s">
        <v>21</v>
      </c>
      <c r="F44" s="65">
        <v>1990</v>
      </c>
      <c r="G44" s="56">
        <v>-0.93364454818272757</v>
      </c>
      <c r="H44" s="63">
        <v>29990</v>
      </c>
      <c r="I44" s="57">
        <v>165.83333333333334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">
      <c r="A45" s="58" t="s">
        <v>49</v>
      </c>
      <c r="B45" s="54" t="s">
        <v>231</v>
      </c>
      <c r="C45" s="53" t="s">
        <v>232</v>
      </c>
      <c r="D45" s="54" t="s">
        <v>195</v>
      </c>
      <c r="E45" s="55" t="s">
        <v>48</v>
      </c>
      <c r="F45" s="65">
        <v>1</v>
      </c>
      <c r="G45" s="56">
        <v>-0.99949748743718592</v>
      </c>
      <c r="H45" s="63">
        <v>1990</v>
      </c>
      <c r="I45" s="57">
        <v>8.3333333333333329E-2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">
      <c r="A46" s="51" t="s">
        <v>49</v>
      </c>
      <c r="B46" s="52" t="s">
        <v>753</v>
      </c>
      <c r="C46" s="53" t="s">
        <v>752</v>
      </c>
      <c r="D46" s="54" t="s">
        <v>17</v>
      </c>
      <c r="E46" s="55" t="s">
        <v>117</v>
      </c>
      <c r="F46" s="66">
        <v>359990</v>
      </c>
      <c r="G46" s="56">
        <v>-0.14286054429867379</v>
      </c>
      <c r="H46" s="63">
        <v>419990</v>
      </c>
      <c r="I46" s="57">
        <v>29999.166666666668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">
      <c r="A47" s="51" t="s">
        <v>49</v>
      </c>
      <c r="B47" s="52" t="s">
        <v>247</v>
      </c>
      <c r="C47" s="53" t="s">
        <v>248</v>
      </c>
      <c r="D47" s="54" t="s">
        <v>195</v>
      </c>
      <c r="E47" s="55" t="s">
        <v>117</v>
      </c>
      <c r="F47" s="65">
        <v>4990</v>
      </c>
      <c r="G47" s="56">
        <v>-0.95009500950095005</v>
      </c>
      <c r="H47" s="63">
        <v>99990</v>
      </c>
      <c r="I47" s="57">
        <v>415.83333333333331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">
      <c r="A48" s="58" t="s">
        <v>49</v>
      </c>
      <c r="B48" s="54" t="s">
        <v>934</v>
      </c>
      <c r="C48" s="53" t="s">
        <v>935</v>
      </c>
      <c r="D48" s="54" t="s">
        <v>742</v>
      </c>
      <c r="E48" s="55" t="s">
        <v>52</v>
      </c>
      <c r="F48" s="66">
        <v>32990</v>
      </c>
      <c r="G48" s="56">
        <v>-0.34006801360272054</v>
      </c>
      <c r="H48" s="69">
        <v>49990</v>
      </c>
      <c r="I48" s="57">
        <v>2749.1666666666665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">
      <c r="A49" s="58" t="s">
        <v>49</v>
      </c>
      <c r="B49" s="54" t="s">
        <v>936</v>
      </c>
      <c r="C49" s="53" t="s">
        <v>937</v>
      </c>
      <c r="D49" s="54" t="s">
        <v>742</v>
      </c>
      <c r="E49" s="55" t="s">
        <v>52</v>
      </c>
      <c r="F49" s="66">
        <v>32990</v>
      </c>
      <c r="G49" s="56">
        <v>-0.34006801360272054</v>
      </c>
      <c r="H49" s="69">
        <v>49990</v>
      </c>
      <c r="I49" s="57">
        <v>2749.1666666666665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">
      <c r="A50" s="58" t="s">
        <v>49</v>
      </c>
      <c r="B50" s="54" t="s">
        <v>249</v>
      </c>
      <c r="C50" s="53" t="s">
        <v>250</v>
      </c>
      <c r="D50" s="54" t="s">
        <v>195</v>
      </c>
      <c r="E50" s="55" t="s">
        <v>52</v>
      </c>
      <c r="F50" s="65">
        <v>11990</v>
      </c>
      <c r="G50" s="56">
        <v>-0.88009160641244888</v>
      </c>
      <c r="H50" s="63">
        <v>99993</v>
      </c>
      <c r="I50" s="57">
        <v>999.16666666666663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58" t="s">
        <v>49</v>
      </c>
      <c r="B51" s="54" t="s">
        <v>251</v>
      </c>
      <c r="C51" s="53" t="s">
        <v>252</v>
      </c>
      <c r="D51" s="54" t="s">
        <v>195</v>
      </c>
      <c r="E51" s="55" t="s">
        <v>52</v>
      </c>
      <c r="F51" s="65">
        <v>29990</v>
      </c>
      <c r="G51" s="56">
        <v>-0.5000833472245374</v>
      </c>
      <c r="H51" s="63">
        <v>59990</v>
      </c>
      <c r="I51" s="57">
        <v>2499.1666666666665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58" t="s">
        <v>49</v>
      </c>
      <c r="B52" s="54" t="s">
        <v>253</v>
      </c>
      <c r="C52" s="53" t="s">
        <v>254</v>
      </c>
      <c r="D52" s="54" t="s">
        <v>195</v>
      </c>
      <c r="E52" s="55" t="s">
        <v>52</v>
      </c>
      <c r="F52" s="65">
        <v>19990</v>
      </c>
      <c r="G52" s="56">
        <v>-0.66677779629938327</v>
      </c>
      <c r="H52" s="63">
        <v>59990</v>
      </c>
      <c r="I52" s="57">
        <v>1665.8333333333333</v>
      </c>
      <c r="J52" s="10"/>
      <c r="K52" s="10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58" t="s">
        <v>49</v>
      </c>
      <c r="B53" s="54" t="s">
        <v>221</v>
      </c>
      <c r="C53" s="53" t="s">
        <v>222</v>
      </c>
      <c r="D53" s="54" t="s">
        <v>195</v>
      </c>
      <c r="E53" s="55" t="s">
        <v>52</v>
      </c>
      <c r="F53" s="65">
        <v>49990</v>
      </c>
      <c r="G53" s="56">
        <v>-0.68754297143571474</v>
      </c>
      <c r="H53" s="63">
        <v>159990</v>
      </c>
      <c r="I53" s="57">
        <v>4165.833333333333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58" t="s">
        <v>49</v>
      </c>
      <c r="B54" s="54" t="s">
        <v>223</v>
      </c>
      <c r="C54" s="53" t="s">
        <v>224</v>
      </c>
      <c r="D54" s="54" t="s">
        <v>195</v>
      </c>
      <c r="E54" s="55" t="s">
        <v>52</v>
      </c>
      <c r="F54" s="65">
        <v>49990</v>
      </c>
      <c r="G54" s="56">
        <v>-0.68754297143571474</v>
      </c>
      <c r="H54" s="63">
        <v>159990</v>
      </c>
      <c r="I54" s="57">
        <v>4165.833333333333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51" t="s">
        <v>49</v>
      </c>
      <c r="B55" s="52" t="s">
        <v>237</v>
      </c>
      <c r="C55" s="53" t="s">
        <v>238</v>
      </c>
      <c r="D55" s="54" t="s">
        <v>195</v>
      </c>
      <c r="E55" s="55" t="s">
        <v>52</v>
      </c>
      <c r="F55" s="65">
        <v>19990</v>
      </c>
      <c r="G55" s="56">
        <v>-0.80008000800080015</v>
      </c>
      <c r="H55" s="63">
        <v>99990</v>
      </c>
      <c r="I55" s="57">
        <v>1665.8333333333333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58" t="s">
        <v>49</v>
      </c>
      <c r="B56" s="54" t="s">
        <v>57</v>
      </c>
      <c r="C56" s="53" t="s">
        <v>58</v>
      </c>
      <c r="D56" s="54" t="s">
        <v>17</v>
      </c>
      <c r="E56" s="55" t="s">
        <v>52</v>
      </c>
      <c r="F56" s="66">
        <v>109990</v>
      </c>
      <c r="G56" s="56">
        <v>-0.35296193893758454</v>
      </c>
      <c r="H56" s="63">
        <v>169990</v>
      </c>
      <c r="I56" s="57">
        <v>9165.8333333333339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58" t="s">
        <v>49</v>
      </c>
      <c r="B57" s="54" t="s">
        <v>61</v>
      </c>
      <c r="C57" s="53" t="s">
        <v>62</v>
      </c>
      <c r="D57" s="54" t="s">
        <v>17</v>
      </c>
      <c r="E57" s="55" t="s">
        <v>52</v>
      </c>
      <c r="F57" s="66">
        <v>189990</v>
      </c>
      <c r="G57" s="56">
        <v>-0.36667888929630987</v>
      </c>
      <c r="H57" s="63">
        <v>299990</v>
      </c>
      <c r="I57" s="57">
        <v>15832.5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58" t="s">
        <v>49</v>
      </c>
      <c r="B58" s="54" t="s">
        <v>63</v>
      </c>
      <c r="C58" s="53" t="s">
        <v>64</v>
      </c>
      <c r="D58" s="54" t="s">
        <v>17</v>
      </c>
      <c r="E58" s="55" t="s">
        <v>52</v>
      </c>
      <c r="F58" s="66">
        <v>189990</v>
      </c>
      <c r="G58" s="56">
        <v>-0.36667888929630987</v>
      </c>
      <c r="H58" s="63">
        <v>299990</v>
      </c>
      <c r="I58" s="57">
        <v>15832.5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58" t="s">
        <v>49</v>
      </c>
      <c r="B59" s="54" t="s">
        <v>59</v>
      </c>
      <c r="C59" s="53" t="s">
        <v>60</v>
      </c>
      <c r="D59" s="54" t="s">
        <v>17</v>
      </c>
      <c r="E59" s="55" t="s">
        <v>52</v>
      </c>
      <c r="F59" s="66">
        <v>109990</v>
      </c>
      <c r="G59" s="56">
        <v>-0.35296193893758454</v>
      </c>
      <c r="H59" s="63">
        <v>169990</v>
      </c>
      <c r="I59" s="57">
        <v>9165.8333333333339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58" t="s">
        <v>49</v>
      </c>
      <c r="B60" s="54" t="s">
        <v>950</v>
      </c>
      <c r="C60" s="53" t="s">
        <v>951</v>
      </c>
      <c r="D60" s="54" t="s">
        <v>742</v>
      </c>
      <c r="E60" s="55" t="s">
        <v>52</v>
      </c>
      <c r="F60" s="66">
        <v>149990</v>
      </c>
      <c r="G60" s="56">
        <v>-0.11765397964586155</v>
      </c>
      <c r="H60" s="69">
        <v>169990</v>
      </c>
      <c r="I60" s="57">
        <v>12499.166666666666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58" t="s">
        <v>49</v>
      </c>
      <c r="B61" s="54" t="s">
        <v>952</v>
      </c>
      <c r="C61" s="53" t="s">
        <v>953</v>
      </c>
      <c r="D61" s="54" t="s">
        <v>742</v>
      </c>
      <c r="E61" s="55" t="s">
        <v>52</v>
      </c>
      <c r="F61" s="66">
        <v>149990</v>
      </c>
      <c r="G61" s="56">
        <v>-0.11765397964586155</v>
      </c>
      <c r="H61" s="69">
        <v>169990</v>
      </c>
      <c r="I61" s="57">
        <v>12499.166666666666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">
      <c r="A62" s="58" t="s">
        <v>49</v>
      </c>
      <c r="B62" s="54" t="s">
        <v>954</v>
      </c>
      <c r="C62" s="53" t="s">
        <v>955</v>
      </c>
      <c r="D62" s="54" t="s">
        <v>742</v>
      </c>
      <c r="E62" s="55" t="s">
        <v>52</v>
      </c>
      <c r="F62" s="66">
        <v>229990</v>
      </c>
      <c r="G62" s="56">
        <v>-0.23334111137037905</v>
      </c>
      <c r="H62" s="69">
        <v>299990</v>
      </c>
      <c r="I62" s="57">
        <v>19165.833333333332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">
      <c r="A63" s="58" t="s">
        <v>49</v>
      </c>
      <c r="B63" s="54" t="s">
        <v>956</v>
      </c>
      <c r="C63" s="53" t="s">
        <v>957</v>
      </c>
      <c r="D63" s="54" t="s">
        <v>742</v>
      </c>
      <c r="E63" s="55" t="s">
        <v>52</v>
      </c>
      <c r="F63" s="66">
        <v>229990</v>
      </c>
      <c r="G63" s="56">
        <v>-0.23334111137037905</v>
      </c>
      <c r="H63" s="69">
        <v>299990</v>
      </c>
      <c r="I63" s="57">
        <v>19165.833333333332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">
      <c r="A64" s="51" t="s">
        <v>49</v>
      </c>
      <c r="B64" s="52" t="s">
        <v>227</v>
      </c>
      <c r="C64" s="53" t="s">
        <v>228</v>
      </c>
      <c r="D64" s="54" t="s">
        <v>195</v>
      </c>
      <c r="E64" s="55" t="s">
        <v>52</v>
      </c>
      <c r="F64" s="65">
        <v>89990</v>
      </c>
      <c r="G64" s="56">
        <v>-0.55002750137506873</v>
      </c>
      <c r="H64" s="63">
        <v>199990</v>
      </c>
      <c r="I64" s="57">
        <v>7499.166666666667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">
      <c r="A65" s="51" t="s">
        <v>49</v>
      </c>
      <c r="B65" s="52" t="s">
        <v>225</v>
      </c>
      <c r="C65" s="53" t="s">
        <v>226</v>
      </c>
      <c r="D65" s="54" t="s">
        <v>195</v>
      </c>
      <c r="E65" s="55" t="s">
        <v>52</v>
      </c>
      <c r="F65" s="65">
        <v>89990</v>
      </c>
      <c r="G65" s="56">
        <v>-0.59093595163416524</v>
      </c>
      <c r="H65" s="63">
        <v>219990</v>
      </c>
      <c r="I65" s="57">
        <v>7499.166666666667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">
      <c r="A66" s="58" t="s">
        <v>49</v>
      </c>
      <c r="B66" s="54" t="s">
        <v>219</v>
      </c>
      <c r="C66" s="53" t="s">
        <v>220</v>
      </c>
      <c r="D66" s="54" t="s">
        <v>749</v>
      </c>
      <c r="E66" s="55" t="s">
        <v>52</v>
      </c>
      <c r="F66" s="65">
        <v>134990</v>
      </c>
      <c r="G66" s="56">
        <v>-0.4600184007360294</v>
      </c>
      <c r="H66" s="63">
        <v>249990</v>
      </c>
      <c r="I66" s="57">
        <v>11249.166666666666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">
      <c r="A67" s="58" t="s">
        <v>49</v>
      </c>
      <c r="B67" s="54" t="s">
        <v>69</v>
      </c>
      <c r="C67" s="53" t="s">
        <v>70</v>
      </c>
      <c r="D67" s="54" t="s">
        <v>17</v>
      </c>
      <c r="E67" s="55" t="s">
        <v>52</v>
      </c>
      <c r="F67" s="66">
        <v>149990</v>
      </c>
      <c r="G67" s="56">
        <v>-0.40001600064002563</v>
      </c>
      <c r="H67" s="63">
        <v>249990</v>
      </c>
      <c r="I67" s="57">
        <v>12499.166666666666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">
      <c r="A68" s="58" t="s">
        <v>49</v>
      </c>
      <c r="B68" s="54" t="s">
        <v>71</v>
      </c>
      <c r="C68" s="53" t="s">
        <v>72</v>
      </c>
      <c r="D68" s="54" t="s">
        <v>17</v>
      </c>
      <c r="E68" s="55" t="s">
        <v>52</v>
      </c>
      <c r="F68" s="66">
        <v>149990</v>
      </c>
      <c r="G68" s="56">
        <v>-0.40001600064002563</v>
      </c>
      <c r="H68" s="63">
        <v>249990</v>
      </c>
      <c r="I68" s="57">
        <v>12499.166666666666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">
      <c r="A69" s="58" t="s">
        <v>49</v>
      </c>
      <c r="B69" s="54" t="s">
        <v>50</v>
      </c>
      <c r="C69" s="53" t="s">
        <v>51</v>
      </c>
      <c r="D69" s="54" t="s">
        <v>17</v>
      </c>
      <c r="E69" s="55" t="s">
        <v>52</v>
      </c>
      <c r="F69" s="66">
        <v>249990</v>
      </c>
      <c r="G69" s="56">
        <v>-0.28572244921283463</v>
      </c>
      <c r="H69" s="63">
        <v>349990</v>
      </c>
      <c r="I69" s="57">
        <v>20832.5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">
      <c r="A70" s="58" t="s">
        <v>257</v>
      </c>
      <c r="B70" s="54" t="s">
        <v>260</v>
      </c>
      <c r="C70" s="53" t="s">
        <v>261</v>
      </c>
      <c r="D70" s="54" t="s">
        <v>195</v>
      </c>
      <c r="E70" s="55" t="s">
        <v>26</v>
      </c>
      <c r="F70" s="65">
        <v>99990</v>
      </c>
      <c r="G70" s="56">
        <v>-0.66668888962965434</v>
      </c>
      <c r="H70" s="63">
        <v>299990</v>
      </c>
      <c r="I70" s="57">
        <v>8332.5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">
      <c r="A71" s="58" t="s">
        <v>257</v>
      </c>
      <c r="B71" s="54" t="s">
        <v>264</v>
      </c>
      <c r="C71" s="53" t="s">
        <v>265</v>
      </c>
      <c r="D71" s="54" t="s">
        <v>195</v>
      </c>
      <c r="E71" s="55" t="s">
        <v>26</v>
      </c>
      <c r="F71" s="65">
        <v>39990</v>
      </c>
      <c r="G71" s="56">
        <v>-0.60006000600060005</v>
      </c>
      <c r="H71" s="63">
        <v>99990</v>
      </c>
      <c r="I71" s="57">
        <v>3332.5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">
      <c r="A72" s="58" t="s">
        <v>257</v>
      </c>
      <c r="B72" s="54" t="s">
        <v>262</v>
      </c>
      <c r="C72" s="53" t="s">
        <v>263</v>
      </c>
      <c r="D72" s="54" t="s">
        <v>195</v>
      </c>
      <c r="E72" s="55" t="s">
        <v>26</v>
      </c>
      <c r="F72" s="65">
        <v>39990</v>
      </c>
      <c r="G72" s="56">
        <v>-0.60006000600060005</v>
      </c>
      <c r="H72" s="63">
        <v>99990</v>
      </c>
      <c r="I72" s="57">
        <v>3332.5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">
      <c r="A73" s="58" t="s">
        <v>257</v>
      </c>
      <c r="B73" s="54" t="s">
        <v>258</v>
      </c>
      <c r="C73" s="53" t="s">
        <v>259</v>
      </c>
      <c r="D73" s="54" t="s">
        <v>195</v>
      </c>
      <c r="E73" s="55" t="s">
        <v>26</v>
      </c>
      <c r="F73" s="65">
        <v>79990</v>
      </c>
      <c r="G73" s="56">
        <v>-0.38464497269020692</v>
      </c>
      <c r="H73" s="63">
        <v>129990</v>
      </c>
      <c r="I73" s="57">
        <v>6665.833333333333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">
      <c r="A74" s="58" t="s">
        <v>257</v>
      </c>
      <c r="B74" s="54" t="s">
        <v>268</v>
      </c>
      <c r="C74" s="53" t="s">
        <v>269</v>
      </c>
      <c r="D74" s="54" t="s">
        <v>195</v>
      </c>
      <c r="E74" s="55" t="s">
        <v>26</v>
      </c>
      <c r="F74" s="65">
        <v>9990</v>
      </c>
      <c r="G74" s="56">
        <v>-0.83347224537422904</v>
      </c>
      <c r="H74" s="63">
        <v>59990</v>
      </c>
      <c r="I74" s="57">
        <v>832.5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">
      <c r="A75" s="58" t="s">
        <v>257</v>
      </c>
      <c r="B75" s="54" t="s">
        <v>266</v>
      </c>
      <c r="C75" s="53" t="s">
        <v>267</v>
      </c>
      <c r="D75" s="54" t="s">
        <v>195</v>
      </c>
      <c r="E75" s="55" t="s">
        <v>26</v>
      </c>
      <c r="F75" s="65">
        <v>24990</v>
      </c>
      <c r="G75" s="56">
        <v>-0.64294899271324479</v>
      </c>
      <c r="H75" s="63">
        <v>69990</v>
      </c>
      <c r="I75" s="57">
        <v>2082.5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">
      <c r="A76" s="51" t="s">
        <v>270</v>
      </c>
      <c r="B76" s="52" t="s">
        <v>273</v>
      </c>
      <c r="C76" s="53" t="s">
        <v>274</v>
      </c>
      <c r="D76" s="54" t="s">
        <v>195</v>
      </c>
      <c r="E76" s="55" t="s">
        <v>26</v>
      </c>
      <c r="F76" s="65">
        <v>8990</v>
      </c>
      <c r="G76" s="56">
        <v>-0.64025610244097642</v>
      </c>
      <c r="H76" s="63">
        <v>24990</v>
      </c>
      <c r="I76" s="57">
        <v>749.16666666666663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">
      <c r="A77" s="51" t="s">
        <v>270</v>
      </c>
      <c r="B77" s="52" t="s">
        <v>275</v>
      </c>
      <c r="C77" s="53" t="s">
        <v>276</v>
      </c>
      <c r="D77" s="54" t="s">
        <v>195</v>
      </c>
      <c r="E77" s="55" t="s">
        <v>26</v>
      </c>
      <c r="F77" s="65">
        <v>990</v>
      </c>
      <c r="G77" s="56">
        <v>-0.95047523761880937</v>
      </c>
      <c r="H77" s="63">
        <v>19990</v>
      </c>
      <c r="I77" s="57">
        <v>82.5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">
      <c r="A78" s="51" t="s">
        <v>270</v>
      </c>
      <c r="B78" s="52" t="s">
        <v>271</v>
      </c>
      <c r="C78" s="53" t="s">
        <v>272</v>
      </c>
      <c r="D78" s="54" t="s">
        <v>195</v>
      </c>
      <c r="E78" s="55" t="s">
        <v>26</v>
      </c>
      <c r="F78" s="65">
        <v>4990</v>
      </c>
      <c r="G78" s="56">
        <v>-0.80032012805122044</v>
      </c>
      <c r="H78" s="63">
        <v>24990</v>
      </c>
      <c r="I78" s="57">
        <v>415.83333333333331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">
      <c r="A79" s="51" t="s">
        <v>277</v>
      </c>
      <c r="B79" s="52" t="s">
        <v>278</v>
      </c>
      <c r="C79" s="53" t="s">
        <v>279</v>
      </c>
      <c r="D79" s="54" t="s">
        <v>195</v>
      </c>
      <c r="E79" s="55" t="s">
        <v>26</v>
      </c>
      <c r="F79" s="65">
        <v>16990</v>
      </c>
      <c r="G79" s="56">
        <v>-0.57514378594648663</v>
      </c>
      <c r="H79" s="63">
        <v>39990</v>
      </c>
      <c r="I79" s="57">
        <v>1415.8333333333333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">
      <c r="A80" s="58" t="s">
        <v>75</v>
      </c>
      <c r="B80" s="54" t="s">
        <v>284</v>
      </c>
      <c r="C80" s="53" t="s">
        <v>285</v>
      </c>
      <c r="D80" s="54" t="s">
        <v>195</v>
      </c>
      <c r="E80" s="55" t="s">
        <v>26</v>
      </c>
      <c r="F80" s="65">
        <v>199</v>
      </c>
      <c r="G80" s="56">
        <v>-0.99004502251125559</v>
      </c>
      <c r="H80" s="63">
        <v>19990</v>
      </c>
      <c r="I80" s="57">
        <v>16.583333333333332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">
      <c r="A81" s="58" t="s">
        <v>75</v>
      </c>
      <c r="B81" s="54" t="s">
        <v>958</v>
      </c>
      <c r="C81" s="53" t="s">
        <v>959</v>
      </c>
      <c r="D81" s="54" t="s">
        <v>742</v>
      </c>
      <c r="E81" s="55" t="s">
        <v>26</v>
      </c>
      <c r="F81" s="67">
        <v>109990</v>
      </c>
      <c r="G81" s="56">
        <v>-0.26668444562970861</v>
      </c>
      <c r="H81" s="70">
        <v>149990</v>
      </c>
      <c r="I81" s="57">
        <v>9165.8333333333339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">
      <c r="A82" s="58" t="s">
        <v>75</v>
      </c>
      <c r="B82" s="54" t="s">
        <v>280</v>
      </c>
      <c r="C82" s="53" t="s">
        <v>281</v>
      </c>
      <c r="D82" s="54" t="s">
        <v>749</v>
      </c>
      <c r="E82" s="55" t="s">
        <v>26</v>
      </c>
      <c r="F82" s="65">
        <v>19990</v>
      </c>
      <c r="G82" s="56">
        <v>-0.60012002400480102</v>
      </c>
      <c r="H82" s="63">
        <v>49990</v>
      </c>
      <c r="I82" s="57">
        <v>1665.8333333333333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">
      <c r="A83" s="58" t="s">
        <v>75</v>
      </c>
      <c r="B83" s="54" t="s">
        <v>76</v>
      </c>
      <c r="C83" s="53" t="s">
        <v>77</v>
      </c>
      <c r="D83" s="54" t="s">
        <v>17</v>
      </c>
      <c r="E83" s="55" t="s">
        <v>26</v>
      </c>
      <c r="F83" s="66">
        <v>34990</v>
      </c>
      <c r="G83" s="56">
        <v>-0.41673612268711457</v>
      </c>
      <c r="H83" s="69">
        <v>59990</v>
      </c>
      <c r="I83" s="57">
        <v>2915.8333333333335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">
      <c r="A84" s="58" t="s">
        <v>75</v>
      </c>
      <c r="B84" s="54" t="s">
        <v>78</v>
      </c>
      <c r="C84" s="53" t="s">
        <v>79</v>
      </c>
      <c r="D84" s="54" t="s">
        <v>17</v>
      </c>
      <c r="E84" s="55" t="s">
        <v>26</v>
      </c>
      <c r="F84" s="66">
        <v>34990</v>
      </c>
      <c r="G84" s="56">
        <v>-0.41673612268711457</v>
      </c>
      <c r="H84" s="69">
        <v>59990</v>
      </c>
      <c r="I84" s="57">
        <v>2915.8333333333335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">
      <c r="A85" s="58" t="s">
        <v>75</v>
      </c>
      <c r="B85" s="54" t="s">
        <v>282</v>
      </c>
      <c r="C85" s="53" t="s">
        <v>283</v>
      </c>
      <c r="D85" s="54" t="s">
        <v>749</v>
      </c>
      <c r="E85" s="55" t="s">
        <v>26</v>
      </c>
      <c r="F85" s="65">
        <v>19990</v>
      </c>
      <c r="G85" s="56">
        <v>-0.60012002400480102</v>
      </c>
      <c r="H85" s="69">
        <v>49990</v>
      </c>
      <c r="I85" s="57">
        <v>1665.8333333333333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">
      <c r="A86" s="58" t="s">
        <v>75</v>
      </c>
      <c r="B86" s="54" t="s">
        <v>90</v>
      </c>
      <c r="C86" s="53" t="s">
        <v>91</v>
      </c>
      <c r="D86" s="54" t="s">
        <v>17</v>
      </c>
      <c r="E86" s="55" t="s">
        <v>26</v>
      </c>
      <c r="F86" s="66">
        <v>64990</v>
      </c>
      <c r="G86" s="56">
        <v>-0.67503375168758439</v>
      </c>
      <c r="H86" s="69">
        <v>199990</v>
      </c>
      <c r="I86" s="57">
        <v>5415.833333333333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">
      <c r="A87" s="51" t="s">
        <v>75</v>
      </c>
      <c r="B87" s="52" t="s">
        <v>88</v>
      </c>
      <c r="C87" s="53" t="s">
        <v>89</v>
      </c>
      <c r="D87" s="54" t="s">
        <v>742</v>
      </c>
      <c r="E87" s="55" t="s">
        <v>26</v>
      </c>
      <c r="F87" s="66">
        <v>159990</v>
      </c>
      <c r="G87" s="56">
        <v>-0.19048526120291442</v>
      </c>
      <c r="H87" s="69">
        <v>209990</v>
      </c>
      <c r="I87" s="57">
        <v>14165.833333333334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">
      <c r="A88" s="51" t="s">
        <v>75</v>
      </c>
      <c r="B88" s="52" t="s">
        <v>86</v>
      </c>
      <c r="C88" s="53" t="s">
        <v>87</v>
      </c>
      <c r="D88" s="54" t="s">
        <v>742</v>
      </c>
      <c r="E88" s="55" t="s">
        <v>26</v>
      </c>
      <c r="F88" s="66">
        <v>159990</v>
      </c>
      <c r="G88" s="56">
        <v>-0.19048526120291442</v>
      </c>
      <c r="H88" s="69">
        <v>209990</v>
      </c>
      <c r="I88" s="57">
        <v>14165.833333333334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">
      <c r="A89" s="51" t="s">
        <v>75</v>
      </c>
      <c r="B89" s="52" t="s">
        <v>92</v>
      </c>
      <c r="C89" s="53" t="s">
        <v>93</v>
      </c>
      <c r="D89" s="54" t="s">
        <v>17</v>
      </c>
      <c r="E89" s="55" t="s">
        <v>21</v>
      </c>
      <c r="F89" s="65">
        <v>29990</v>
      </c>
      <c r="G89" s="56">
        <v>-0.25006251562890724</v>
      </c>
      <c r="H89" s="63">
        <v>39990</v>
      </c>
      <c r="I89" s="57">
        <v>2499.1666666666665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">
      <c r="A90" s="51" t="s">
        <v>75</v>
      </c>
      <c r="B90" s="52" t="s">
        <v>84</v>
      </c>
      <c r="C90" s="53" t="s">
        <v>85</v>
      </c>
      <c r="D90" s="54" t="s">
        <v>742</v>
      </c>
      <c r="E90" s="55" t="s">
        <v>18</v>
      </c>
      <c r="F90" s="65">
        <v>32990</v>
      </c>
      <c r="G90" s="56">
        <v>-0.34006801360272054</v>
      </c>
      <c r="H90" s="63">
        <v>49990</v>
      </c>
      <c r="I90" s="57">
        <v>2749.1666666666665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">
      <c r="A91" s="51" t="s">
        <v>75</v>
      </c>
      <c r="B91" s="52" t="s">
        <v>82</v>
      </c>
      <c r="C91" s="53" t="s">
        <v>83</v>
      </c>
      <c r="D91" s="54" t="s">
        <v>742</v>
      </c>
      <c r="E91" s="55" t="s">
        <v>52</v>
      </c>
      <c r="F91" s="66">
        <v>89990</v>
      </c>
      <c r="G91" s="56">
        <v>-0.40002666844456292</v>
      </c>
      <c r="H91" s="69">
        <v>149990</v>
      </c>
      <c r="I91" s="57">
        <v>7499.166666666667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">
      <c r="A92" s="51" t="s">
        <v>75</v>
      </c>
      <c r="B92" s="52" t="s">
        <v>80</v>
      </c>
      <c r="C92" s="53" t="s">
        <v>81</v>
      </c>
      <c r="D92" s="54" t="s">
        <v>742</v>
      </c>
      <c r="E92" s="55" t="s">
        <v>52</v>
      </c>
      <c r="F92" s="66">
        <v>89990</v>
      </c>
      <c r="G92" s="56">
        <v>-0.40002666844456292</v>
      </c>
      <c r="H92" s="69">
        <v>149990</v>
      </c>
      <c r="I92" s="57">
        <v>7499.166666666667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">
      <c r="A93" s="51" t="s">
        <v>94</v>
      </c>
      <c r="B93" s="52" t="s">
        <v>102</v>
      </c>
      <c r="C93" s="53" t="s">
        <v>103</v>
      </c>
      <c r="D93" s="54" t="s">
        <v>17</v>
      </c>
      <c r="E93" s="55" t="s">
        <v>97</v>
      </c>
      <c r="F93" s="65">
        <v>639990</v>
      </c>
      <c r="G93" s="56">
        <v>-0.16883336147222694</v>
      </c>
      <c r="H93" s="63">
        <v>769990</v>
      </c>
      <c r="I93" s="57">
        <v>53332.5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">
      <c r="A94" s="51" t="s">
        <v>94</v>
      </c>
      <c r="B94" s="52" t="s">
        <v>100</v>
      </c>
      <c r="C94" s="53" t="s">
        <v>101</v>
      </c>
      <c r="D94" s="54" t="s">
        <v>17</v>
      </c>
      <c r="E94" s="55" t="s">
        <v>97</v>
      </c>
      <c r="F94" s="65">
        <v>599990</v>
      </c>
      <c r="G94" s="56">
        <v>-0.14285918370262429</v>
      </c>
      <c r="H94" s="63">
        <v>699990</v>
      </c>
      <c r="I94" s="57">
        <v>49999.166666666664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">
      <c r="A95" s="51" t="s">
        <v>94</v>
      </c>
      <c r="B95" s="52" t="s">
        <v>95</v>
      </c>
      <c r="C95" s="53" t="s">
        <v>96</v>
      </c>
      <c r="D95" s="54" t="s">
        <v>17</v>
      </c>
      <c r="E95" s="55" t="s">
        <v>97</v>
      </c>
      <c r="F95" s="65">
        <v>339990</v>
      </c>
      <c r="G95" s="56">
        <v>-0.19048072573156505</v>
      </c>
      <c r="H95" s="63">
        <v>419990</v>
      </c>
      <c r="I95" s="57">
        <v>28332.5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">
      <c r="A96" s="51" t="s">
        <v>94</v>
      </c>
      <c r="B96" s="52" t="s">
        <v>98</v>
      </c>
      <c r="C96" s="53" t="s">
        <v>99</v>
      </c>
      <c r="D96" s="54" t="s">
        <v>17</v>
      </c>
      <c r="E96" s="55" t="s">
        <v>97</v>
      </c>
      <c r="F96" s="65">
        <v>329990</v>
      </c>
      <c r="G96" s="56">
        <v>-0.21429081644801062</v>
      </c>
      <c r="H96" s="63">
        <v>419990</v>
      </c>
      <c r="I96" s="57">
        <v>27499.166666666668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">
      <c r="A97" s="58" t="s">
        <v>286</v>
      </c>
      <c r="B97" s="54" t="s">
        <v>287</v>
      </c>
      <c r="C97" s="53" t="s">
        <v>288</v>
      </c>
      <c r="D97" s="54" t="s">
        <v>749</v>
      </c>
      <c r="E97" s="55" t="s">
        <v>26</v>
      </c>
      <c r="F97" s="65">
        <v>11990</v>
      </c>
      <c r="G97" s="56">
        <v>-0.60020006668889625</v>
      </c>
      <c r="H97" s="63">
        <v>29990</v>
      </c>
      <c r="I97" s="57">
        <v>999.16666666666663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">
      <c r="A98" s="58" t="s">
        <v>286</v>
      </c>
      <c r="B98" s="54" t="s">
        <v>291</v>
      </c>
      <c r="C98" s="53" t="s">
        <v>292</v>
      </c>
      <c r="D98" s="54" t="s">
        <v>195</v>
      </c>
      <c r="E98" s="55" t="s">
        <v>26</v>
      </c>
      <c r="F98" s="65">
        <v>9990</v>
      </c>
      <c r="G98" s="56">
        <v>-0.66688896298766254</v>
      </c>
      <c r="H98" s="63">
        <v>29990</v>
      </c>
      <c r="I98" s="57">
        <v>832.5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">
      <c r="A99" s="58" t="s">
        <v>286</v>
      </c>
      <c r="B99" s="54" t="s">
        <v>289</v>
      </c>
      <c r="C99" s="53" t="s">
        <v>290</v>
      </c>
      <c r="D99" s="54" t="s">
        <v>749</v>
      </c>
      <c r="E99" s="55" t="s">
        <v>21</v>
      </c>
      <c r="F99" s="65">
        <v>9990</v>
      </c>
      <c r="G99" s="56">
        <v>-0.66688896298766254</v>
      </c>
      <c r="H99" s="63">
        <v>29990</v>
      </c>
      <c r="I99" s="57">
        <v>832.5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">
      <c r="A100" s="58" t="s">
        <v>286</v>
      </c>
      <c r="B100" s="54" t="s">
        <v>293</v>
      </c>
      <c r="C100" s="53" t="s">
        <v>294</v>
      </c>
      <c r="D100" s="54" t="s">
        <v>195</v>
      </c>
      <c r="E100" s="55" t="s">
        <v>21</v>
      </c>
      <c r="F100" s="65">
        <v>1</v>
      </c>
      <c r="G100" s="56">
        <v>-0.99989989989989991</v>
      </c>
      <c r="H100" s="63">
        <v>9990</v>
      </c>
      <c r="I100" s="57">
        <v>8.3333333333333329E-2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">
      <c r="A101" s="51" t="s">
        <v>286</v>
      </c>
      <c r="B101" s="52" t="s">
        <v>295</v>
      </c>
      <c r="C101" s="53" t="s">
        <v>296</v>
      </c>
      <c r="D101" s="54" t="s">
        <v>195</v>
      </c>
      <c r="E101" s="55" t="s">
        <v>21</v>
      </c>
      <c r="F101" s="65">
        <v>100</v>
      </c>
      <c r="G101" s="56">
        <v>-0.9933288859239493</v>
      </c>
      <c r="H101" s="63">
        <v>14990</v>
      </c>
      <c r="I101" s="57">
        <v>8.3333333333333339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">
      <c r="A102" s="51" t="s">
        <v>286</v>
      </c>
      <c r="B102" s="52" t="s">
        <v>297</v>
      </c>
      <c r="C102" s="53" t="s">
        <v>298</v>
      </c>
      <c r="D102" s="54" t="s">
        <v>195</v>
      </c>
      <c r="E102" s="55" t="s">
        <v>21</v>
      </c>
      <c r="F102" s="65">
        <v>100</v>
      </c>
      <c r="G102" s="56">
        <v>-0.98998998998998999</v>
      </c>
      <c r="H102" s="63">
        <v>9990</v>
      </c>
      <c r="I102" s="57">
        <v>8.3333333333333339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">
      <c r="A103" s="51" t="s">
        <v>299</v>
      </c>
      <c r="B103" s="52" t="s">
        <v>300</v>
      </c>
      <c r="C103" s="53" t="s">
        <v>301</v>
      </c>
      <c r="D103" s="54" t="s">
        <v>195</v>
      </c>
      <c r="E103" s="55" t="s">
        <v>26</v>
      </c>
      <c r="F103" s="65">
        <v>19990</v>
      </c>
      <c r="G103" s="56">
        <v>-0.80008000800080015</v>
      </c>
      <c r="H103" s="63">
        <v>99990</v>
      </c>
      <c r="I103" s="57">
        <v>1665.8333333333333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">
      <c r="A104" s="51" t="s">
        <v>104</v>
      </c>
      <c r="B104" s="52" t="s">
        <v>306</v>
      </c>
      <c r="C104" s="53" t="s">
        <v>307</v>
      </c>
      <c r="D104" s="54" t="s">
        <v>195</v>
      </c>
      <c r="E104" s="55" t="s">
        <v>26</v>
      </c>
      <c r="F104" s="65">
        <v>19990</v>
      </c>
      <c r="G104" s="56">
        <v>-0.80008000800080015</v>
      </c>
      <c r="H104" s="63">
        <v>99990</v>
      </c>
      <c r="I104" s="57">
        <v>1665.8333333333333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">
      <c r="A105" s="58" t="s">
        <v>104</v>
      </c>
      <c r="B105" s="54" t="s">
        <v>113</v>
      </c>
      <c r="C105" s="53" t="s">
        <v>114</v>
      </c>
      <c r="D105" s="54" t="s">
        <v>749</v>
      </c>
      <c r="E105" s="55" t="s">
        <v>26</v>
      </c>
      <c r="F105" s="67">
        <v>179990</v>
      </c>
      <c r="G105" s="56">
        <v>-0.28001120044801797</v>
      </c>
      <c r="H105" s="70">
        <v>249990</v>
      </c>
      <c r="I105" s="57">
        <v>14999.166666666666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">
      <c r="A106" s="58" t="s">
        <v>104</v>
      </c>
      <c r="B106" s="54" t="s">
        <v>111</v>
      </c>
      <c r="C106" s="53" t="s">
        <v>112</v>
      </c>
      <c r="D106" s="54" t="s">
        <v>17</v>
      </c>
      <c r="E106" s="55" t="s">
        <v>26</v>
      </c>
      <c r="F106" s="66">
        <v>42990</v>
      </c>
      <c r="G106" s="56">
        <v>-0.4625578197274659</v>
      </c>
      <c r="H106" s="69">
        <v>79990</v>
      </c>
      <c r="I106" s="57">
        <v>3582.5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">
      <c r="A107" s="51" t="s">
        <v>104</v>
      </c>
      <c r="B107" s="52" t="s">
        <v>308</v>
      </c>
      <c r="C107" s="53" t="s">
        <v>309</v>
      </c>
      <c r="D107" s="54" t="s">
        <v>195</v>
      </c>
      <c r="E107" s="55" t="s">
        <v>26</v>
      </c>
      <c r="F107" s="65">
        <v>19990</v>
      </c>
      <c r="G107" s="56">
        <v>-0.80008000800080015</v>
      </c>
      <c r="H107" s="63">
        <v>99990</v>
      </c>
      <c r="I107" s="57">
        <v>1665.8333333333333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">
      <c r="A108" s="58" t="s">
        <v>104</v>
      </c>
      <c r="B108" s="54" t="s">
        <v>318</v>
      </c>
      <c r="C108" s="53" t="s">
        <v>319</v>
      </c>
      <c r="D108" s="54" t="s">
        <v>195</v>
      </c>
      <c r="E108" s="55" t="s">
        <v>26</v>
      </c>
      <c r="F108" s="65">
        <v>19990</v>
      </c>
      <c r="G108" s="56">
        <v>-0.86672444829655304</v>
      </c>
      <c r="H108" s="63">
        <v>149990</v>
      </c>
      <c r="I108" s="57">
        <v>1665.8333333333333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">
      <c r="A109" s="51" t="s">
        <v>104</v>
      </c>
      <c r="B109" s="52" t="s">
        <v>105</v>
      </c>
      <c r="C109" s="53" t="s">
        <v>106</v>
      </c>
      <c r="D109" s="54" t="s">
        <v>17</v>
      </c>
      <c r="E109" s="55" t="s">
        <v>21</v>
      </c>
      <c r="F109" s="67">
        <v>15990</v>
      </c>
      <c r="G109" s="56">
        <v>-0.46682227409136379</v>
      </c>
      <c r="H109" s="70">
        <v>29990</v>
      </c>
      <c r="I109" s="57">
        <v>1332.5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">
      <c r="A110" s="58" t="s">
        <v>104</v>
      </c>
      <c r="B110" s="54" t="s">
        <v>107</v>
      </c>
      <c r="C110" s="53" t="s">
        <v>108</v>
      </c>
      <c r="D110" s="54" t="s">
        <v>17</v>
      </c>
      <c r="E110" s="55" t="s">
        <v>21</v>
      </c>
      <c r="F110" s="67">
        <v>15990</v>
      </c>
      <c r="G110" s="56">
        <v>-0.46682227409136379</v>
      </c>
      <c r="H110" s="70">
        <v>29990</v>
      </c>
      <c r="I110" s="57">
        <v>1332.5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">
      <c r="A111" s="58" t="s">
        <v>104</v>
      </c>
      <c r="B111" s="54" t="s">
        <v>109</v>
      </c>
      <c r="C111" s="53" t="s">
        <v>110</v>
      </c>
      <c r="D111" s="54" t="s">
        <v>17</v>
      </c>
      <c r="E111" s="55" t="s">
        <v>21</v>
      </c>
      <c r="F111" s="67">
        <v>34990</v>
      </c>
      <c r="G111" s="56">
        <v>-0.36370249136206578</v>
      </c>
      <c r="H111" s="70">
        <v>54990</v>
      </c>
      <c r="I111" s="57">
        <v>2915.8333333333335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">
      <c r="A112" s="58" t="s">
        <v>104</v>
      </c>
      <c r="B112" s="54" t="s">
        <v>312</v>
      </c>
      <c r="C112" s="53" t="s">
        <v>313</v>
      </c>
      <c r="D112" s="54" t="s">
        <v>195</v>
      </c>
      <c r="E112" s="55" t="s">
        <v>21</v>
      </c>
      <c r="F112" s="65">
        <v>19990</v>
      </c>
      <c r="G112" s="56">
        <v>-0.66677779629938327</v>
      </c>
      <c r="H112" s="63">
        <v>59990</v>
      </c>
      <c r="I112" s="57">
        <v>1665.8333333333333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">
      <c r="A113" s="51" t="s">
        <v>104</v>
      </c>
      <c r="B113" s="52" t="s">
        <v>304</v>
      </c>
      <c r="C113" s="53" t="s">
        <v>305</v>
      </c>
      <c r="D113" s="54" t="s">
        <v>195</v>
      </c>
      <c r="E113" s="55" t="s">
        <v>21</v>
      </c>
      <c r="F113" s="65">
        <v>5990</v>
      </c>
      <c r="G113" s="56">
        <v>-0.85021255313828459</v>
      </c>
      <c r="H113" s="63">
        <v>39990</v>
      </c>
      <c r="I113" s="57">
        <v>499.16666666666669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">
      <c r="A114" s="58" t="s">
        <v>104</v>
      </c>
      <c r="B114" s="54" t="s">
        <v>124</v>
      </c>
      <c r="C114" s="53" t="s">
        <v>125</v>
      </c>
      <c r="D114" s="54" t="s">
        <v>749</v>
      </c>
      <c r="E114" s="55" t="s">
        <v>18</v>
      </c>
      <c r="F114" s="67">
        <v>19990</v>
      </c>
      <c r="G114" s="56">
        <v>-0.33344448149383132</v>
      </c>
      <c r="H114" s="70">
        <v>29990</v>
      </c>
      <c r="I114" s="57">
        <v>1665.8333333333333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">
      <c r="A115" s="58" t="s">
        <v>104</v>
      </c>
      <c r="B115" s="54" t="s">
        <v>122</v>
      </c>
      <c r="C115" s="53" t="s">
        <v>123</v>
      </c>
      <c r="D115" s="54" t="s">
        <v>17</v>
      </c>
      <c r="E115" s="55" t="s">
        <v>117</v>
      </c>
      <c r="F115" s="67">
        <v>139990</v>
      </c>
      <c r="G115" s="56">
        <v>-0.3333492071051003</v>
      </c>
      <c r="H115" s="70">
        <v>209990</v>
      </c>
      <c r="I115" s="57">
        <v>11665.833333333334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">
      <c r="A116" s="58" t="s">
        <v>104</v>
      </c>
      <c r="B116" s="54" t="s">
        <v>115</v>
      </c>
      <c r="C116" s="53" t="s">
        <v>116</v>
      </c>
      <c r="D116" s="54" t="s">
        <v>17</v>
      </c>
      <c r="E116" s="55" t="s">
        <v>117</v>
      </c>
      <c r="F116" s="67">
        <v>399990</v>
      </c>
      <c r="G116" s="56">
        <v>-0.11111358030178453</v>
      </c>
      <c r="H116" s="70">
        <v>449990</v>
      </c>
      <c r="I116" s="57">
        <v>33332.5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">
      <c r="A117" s="58" t="s">
        <v>104</v>
      </c>
      <c r="B117" s="54" t="s">
        <v>302</v>
      </c>
      <c r="C117" s="53" t="s">
        <v>303</v>
      </c>
      <c r="D117" s="54" t="s">
        <v>195</v>
      </c>
      <c r="E117" s="55" t="s">
        <v>52</v>
      </c>
      <c r="F117" s="65">
        <v>59990</v>
      </c>
      <c r="G117" s="56">
        <v>-0.68424653929154167</v>
      </c>
      <c r="H117" s="63">
        <v>189990</v>
      </c>
      <c r="I117" s="57">
        <v>4999.166666666667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">
      <c r="A118" s="58" t="s">
        <v>104</v>
      </c>
      <c r="B118" s="54" t="s">
        <v>310</v>
      </c>
      <c r="C118" s="53" t="s">
        <v>311</v>
      </c>
      <c r="D118" s="54" t="s">
        <v>195</v>
      </c>
      <c r="E118" s="55" t="s">
        <v>52</v>
      </c>
      <c r="F118" s="65">
        <v>9990</v>
      </c>
      <c r="G118" s="56">
        <v>-0.92314793445649668</v>
      </c>
      <c r="H118" s="63">
        <v>129990</v>
      </c>
      <c r="I118" s="57">
        <v>832.5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">
      <c r="A119" s="58" t="s">
        <v>104</v>
      </c>
      <c r="B119" s="54" t="s">
        <v>314</v>
      </c>
      <c r="C119" s="53" t="s">
        <v>315</v>
      </c>
      <c r="D119" s="54" t="s">
        <v>195</v>
      </c>
      <c r="E119" s="55" t="s">
        <v>52</v>
      </c>
      <c r="F119" s="65">
        <v>99990</v>
      </c>
      <c r="G119" s="56">
        <v>-0.67744120778089623</v>
      </c>
      <c r="H119" s="63">
        <v>309990</v>
      </c>
      <c r="I119" s="57">
        <v>8332.5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">
      <c r="A120" s="58" t="s">
        <v>104</v>
      </c>
      <c r="B120" s="54" t="s">
        <v>316</v>
      </c>
      <c r="C120" s="53" t="s">
        <v>317</v>
      </c>
      <c r="D120" s="54" t="s">
        <v>195</v>
      </c>
      <c r="E120" s="55" t="s">
        <v>52</v>
      </c>
      <c r="F120" s="65">
        <v>99990</v>
      </c>
      <c r="G120" s="56">
        <v>-0.71430612303208663</v>
      </c>
      <c r="H120" s="63">
        <v>349990</v>
      </c>
      <c r="I120" s="57">
        <v>8332.5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">
      <c r="A121" s="58" t="s">
        <v>104</v>
      </c>
      <c r="B121" s="54" t="s">
        <v>120</v>
      </c>
      <c r="C121" s="53" t="s">
        <v>121</v>
      </c>
      <c r="D121" s="54" t="s">
        <v>749</v>
      </c>
      <c r="E121" s="55" t="s">
        <v>52</v>
      </c>
      <c r="F121" s="66">
        <v>239990</v>
      </c>
      <c r="G121" s="56">
        <v>-0.35136084759047537</v>
      </c>
      <c r="H121" s="69">
        <v>369990</v>
      </c>
      <c r="I121" s="57">
        <v>19999.166666666668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">
      <c r="A122" s="58" t="s">
        <v>104</v>
      </c>
      <c r="B122" s="54" t="s">
        <v>118</v>
      </c>
      <c r="C122" s="53" t="s">
        <v>119</v>
      </c>
      <c r="D122" s="54" t="s">
        <v>749</v>
      </c>
      <c r="E122" s="55" t="s">
        <v>52</v>
      </c>
      <c r="F122" s="66">
        <v>269990</v>
      </c>
      <c r="G122" s="56">
        <v>-0.32500812520313005</v>
      </c>
      <c r="H122" s="69">
        <v>399990</v>
      </c>
      <c r="I122" s="57">
        <v>22499.166666666668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">
      <c r="A123" s="58" t="s">
        <v>320</v>
      </c>
      <c r="B123" s="54" t="s">
        <v>324</v>
      </c>
      <c r="C123" s="53" t="s">
        <v>325</v>
      </c>
      <c r="D123" s="54" t="s">
        <v>195</v>
      </c>
      <c r="E123" s="55" t="s">
        <v>323</v>
      </c>
      <c r="F123" s="65">
        <v>1990</v>
      </c>
      <c r="G123" s="56">
        <v>-0.93364454818272757</v>
      </c>
      <c r="H123" s="63">
        <v>29990</v>
      </c>
      <c r="I123" s="57">
        <v>165.83333333333334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">
      <c r="A124" s="58" t="s">
        <v>320</v>
      </c>
      <c r="B124" s="54" t="s">
        <v>326</v>
      </c>
      <c r="C124" s="53" t="s">
        <v>327</v>
      </c>
      <c r="D124" s="54" t="s">
        <v>195</v>
      </c>
      <c r="E124" s="55" t="s">
        <v>323</v>
      </c>
      <c r="F124" s="65">
        <v>490</v>
      </c>
      <c r="G124" s="56">
        <v>-0.83612040133779264</v>
      </c>
      <c r="H124" s="63">
        <v>2990</v>
      </c>
      <c r="I124" s="57">
        <v>40.833333333333336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">
      <c r="A125" s="58" t="s">
        <v>320</v>
      </c>
      <c r="B125" s="54" t="s">
        <v>328</v>
      </c>
      <c r="C125" s="53" t="s">
        <v>329</v>
      </c>
      <c r="D125" s="54" t="s">
        <v>195</v>
      </c>
      <c r="E125" s="55" t="s">
        <v>323</v>
      </c>
      <c r="F125" s="65">
        <v>990</v>
      </c>
      <c r="G125" s="56">
        <v>-0.90090090090090091</v>
      </c>
      <c r="H125" s="63">
        <v>9990</v>
      </c>
      <c r="I125" s="57">
        <v>82.5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2">
      <c r="A126" s="58" t="s">
        <v>320</v>
      </c>
      <c r="B126" s="54" t="s">
        <v>321</v>
      </c>
      <c r="C126" s="53" t="s">
        <v>322</v>
      </c>
      <c r="D126" s="54" t="s">
        <v>195</v>
      </c>
      <c r="E126" s="55" t="s">
        <v>323</v>
      </c>
      <c r="F126" s="65">
        <v>1490</v>
      </c>
      <c r="G126" s="56">
        <v>-0.90060040026684463</v>
      </c>
      <c r="H126" s="63">
        <v>14990</v>
      </c>
      <c r="I126" s="57">
        <v>124.16666666666667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2">
      <c r="A127" s="58" t="s">
        <v>960</v>
      </c>
      <c r="B127" s="54" t="s">
        <v>961</v>
      </c>
      <c r="C127" s="53" t="s">
        <v>962</v>
      </c>
      <c r="D127" s="54" t="s">
        <v>17</v>
      </c>
      <c r="E127" s="55" t="s">
        <v>963</v>
      </c>
      <c r="F127" s="66">
        <v>49990</v>
      </c>
      <c r="G127" s="56">
        <v>-0.16669444907484576</v>
      </c>
      <c r="H127" s="63">
        <v>59990</v>
      </c>
      <c r="I127" s="57">
        <v>4165.833333333333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2">
      <c r="A128" s="58" t="s">
        <v>126</v>
      </c>
      <c r="B128" s="54" t="s">
        <v>129</v>
      </c>
      <c r="C128" s="53" t="s">
        <v>130</v>
      </c>
      <c r="D128" s="54" t="s">
        <v>17</v>
      </c>
      <c r="E128" s="55" t="s">
        <v>26</v>
      </c>
      <c r="F128" s="2">
        <v>29990</v>
      </c>
      <c r="G128" s="56">
        <v>-0.34006801360272054</v>
      </c>
      <c r="H128" s="63">
        <v>49990</v>
      </c>
      <c r="I128" s="57">
        <v>2749.1666666666665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">
      <c r="A129" s="58" t="s">
        <v>126</v>
      </c>
      <c r="B129" s="54" t="s">
        <v>127</v>
      </c>
      <c r="C129" s="53" t="s">
        <v>128</v>
      </c>
      <c r="D129" s="54" t="s">
        <v>17</v>
      </c>
      <c r="E129" s="55" t="s">
        <v>26</v>
      </c>
      <c r="F129" s="2">
        <v>32990</v>
      </c>
      <c r="G129" s="56">
        <v>-0.34006801360272054</v>
      </c>
      <c r="H129" s="63">
        <v>49990</v>
      </c>
      <c r="I129" s="57">
        <v>2749.1666666666665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">
      <c r="A130" s="58" t="s">
        <v>126</v>
      </c>
      <c r="B130" s="54" t="s">
        <v>131</v>
      </c>
      <c r="C130" s="53" t="s">
        <v>132</v>
      </c>
      <c r="D130" s="54" t="s">
        <v>17</v>
      </c>
      <c r="E130" s="55" t="s">
        <v>26</v>
      </c>
      <c r="F130" s="2">
        <v>69990</v>
      </c>
      <c r="G130" s="56">
        <v>-0.46157396722824828</v>
      </c>
      <c r="H130" s="63">
        <v>129990</v>
      </c>
      <c r="I130" s="57">
        <v>5832.5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">
      <c r="A131" s="58" t="s">
        <v>126</v>
      </c>
      <c r="B131" s="54" t="s">
        <v>133</v>
      </c>
      <c r="C131" s="53" t="s">
        <v>134</v>
      </c>
      <c r="D131" s="54" t="s">
        <v>17</v>
      </c>
      <c r="E131" s="55" t="s">
        <v>26</v>
      </c>
      <c r="F131" s="2">
        <v>69990</v>
      </c>
      <c r="G131" s="56">
        <v>-0.46157396722824828</v>
      </c>
      <c r="H131" s="63">
        <v>129990</v>
      </c>
      <c r="I131" s="57">
        <v>5832.5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">
      <c r="A132" s="58" t="s">
        <v>126</v>
      </c>
      <c r="B132" s="54" t="s">
        <v>864</v>
      </c>
      <c r="C132" s="53" t="s">
        <v>865</v>
      </c>
      <c r="D132" s="54" t="s">
        <v>742</v>
      </c>
      <c r="E132" s="55" t="s">
        <v>26</v>
      </c>
      <c r="F132" s="2">
        <v>104990</v>
      </c>
      <c r="G132" s="56">
        <v>-0.41668981610089451</v>
      </c>
      <c r="H132" s="69">
        <v>179990</v>
      </c>
      <c r="I132" s="57">
        <v>8749.1666666666661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">
      <c r="A133" s="58" t="s">
        <v>126</v>
      </c>
      <c r="B133" s="54" t="s">
        <v>860</v>
      </c>
      <c r="C133" s="53" t="s">
        <v>861</v>
      </c>
      <c r="D133" s="54" t="s">
        <v>742</v>
      </c>
      <c r="E133" s="55" t="s">
        <v>26</v>
      </c>
      <c r="F133" s="2">
        <v>29990</v>
      </c>
      <c r="G133" s="56">
        <v>-0.34006801360272054</v>
      </c>
      <c r="H133" s="69">
        <v>49990</v>
      </c>
      <c r="I133" s="57">
        <v>2749.1666666666665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">
      <c r="A134" s="58" t="s">
        <v>126</v>
      </c>
      <c r="B134" s="54" t="s">
        <v>862</v>
      </c>
      <c r="C134" s="53" t="s">
        <v>863</v>
      </c>
      <c r="D134" s="54" t="s">
        <v>742</v>
      </c>
      <c r="E134" s="55" t="s">
        <v>26</v>
      </c>
      <c r="F134" s="66">
        <v>64990</v>
      </c>
      <c r="G134" s="56">
        <v>-0.35003500350034999</v>
      </c>
      <c r="H134" s="69">
        <v>99990</v>
      </c>
      <c r="I134" s="57">
        <v>5415.833333333333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">
      <c r="A135" s="58" t="s">
        <v>126</v>
      </c>
      <c r="B135" s="54" t="s">
        <v>858</v>
      </c>
      <c r="C135" s="53" t="s">
        <v>859</v>
      </c>
      <c r="D135" s="54" t="s">
        <v>742</v>
      </c>
      <c r="E135" s="55" t="s">
        <v>26</v>
      </c>
      <c r="F135" s="66">
        <v>18990</v>
      </c>
      <c r="G135" s="56">
        <v>-0.26933435936898809</v>
      </c>
      <c r="H135" s="69">
        <v>25990</v>
      </c>
      <c r="I135" s="57">
        <v>1582.5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">
      <c r="A136" s="58" t="s">
        <v>135</v>
      </c>
      <c r="B136" s="54" t="s">
        <v>136</v>
      </c>
      <c r="C136" s="53" t="s">
        <v>137</v>
      </c>
      <c r="D136" s="54" t="s">
        <v>17</v>
      </c>
      <c r="E136" s="55" t="s">
        <v>97</v>
      </c>
      <c r="F136" s="65">
        <v>68990</v>
      </c>
      <c r="G136" s="56">
        <v>-0.23335926214023783</v>
      </c>
      <c r="H136" s="63">
        <v>89990</v>
      </c>
      <c r="I136" s="57">
        <v>5749.166666666667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">
      <c r="A137" s="58" t="s">
        <v>135</v>
      </c>
      <c r="B137" s="54" t="s">
        <v>138</v>
      </c>
      <c r="C137" s="53" t="s">
        <v>139</v>
      </c>
      <c r="D137" s="54" t="s">
        <v>17</v>
      </c>
      <c r="E137" s="55" t="s">
        <v>97</v>
      </c>
      <c r="F137" s="65">
        <v>68990</v>
      </c>
      <c r="G137" s="56">
        <v>-0.23335926214023783</v>
      </c>
      <c r="H137" s="63">
        <v>89990</v>
      </c>
      <c r="I137" s="57">
        <v>5749.166666666667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">
      <c r="A138" s="58" t="s">
        <v>135</v>
      </c>
      <c r="B138" s="54" t="s">
        <v>140</v>
      </c>
      <c r="C138" s="53" t="s">
        <v>141</v>
      </c>
      <c r="D138" s="54" t="s">
        <v>17</v>
      </c>
      <c r="E138" s="55" t="s">
        <v>97</v>
      </c>
      <c r="F138" s="65">
        <v>599990</v>
      </c>
      <c r="G138" s="56">
        <v>-0.20000266670222266</v>
      </c>
      <c r="H138" s="63">
        <v>749990</v>
      </c>
      <c r="I138" s="57">
        <v>49999.166666666664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">
      <c r="A139" s="58" t="s">
        <v>135</v>
      </c>
      <c r="B139" s="54" t="s">
        <v>144</v>
      </c>
      <c r="C139" s="53" t="s">
        <v>145</v>
      </c>
      <c r="D139" s="54" t="s">
        <v>17</v>
      </c>
      <c r="E139" s="55" t="s">
        <v>97</v>
      </c>
      <c r="F139" s="65">
        <v>599990</v>
      </c>
      <c r="G139" s="56">
        <v>-0.20000266670222266</v>
      </c>
      <c r="H139" s="63">
        <v>749990</v>
      </c>
      <c r="I139" s="57">
        <v>49999.166666666664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">
      <c r="A140" s="58" t="s">
        <v>135</v>
      </c>
      <c r="B140" s="54" t="s">
        <v>142</v>
      </c>
      <c r="C140" s="53" t="s">
        <v>143</v>
      </c>
      <c r="D140" s="54" t="s">
        <v>195</v>
      </c>
      <c r="E140" s="55" t="s">
        <v>97</v>
      </c>
      <c r="F140" s="65">
        <v>679990</v>
      </c>
      <c r="G140" s="56">
        <v>-0.21839331486568814</v>
      </c>
      <c r="H140" s="63">
        <v>869990</v>
      </c>
      <c r="I140" s="57">
        <v>56665.833333333336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">
      <c r="A141" s="58" t="s">
        <v>135</v>
      </c>
      <c r="B141" s="54" t="s">
        <v>146</v>
      </c>
      <c r="C141" s="53" t="s">
        <v>147</v>
      </c>
      <c r="D141" s="54" t="s">
        <v>17</v>
      </c>
      <c r="E141" s="55" t="s">
        <v>97</v>
      </c>
      <c r="F141" s="65">
        <v>679990</v>
      </c>
      <c r="G141" s="56">
        <v>-0.21839331486568814</v>
      </c>
      <c r="H141" s="63">
        <v>869990</v>
      </c>
      <c r="I141" s="57">
        <v>56665.833333333336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">
      <c r="A142" s="58" t="s">
        <v>330</v>
      </c>
      <c r="B142" s="54" t="s">
        <v>331</v>
      </c>
      <c r="C142" s="53" t="s">
        <v>332</v>
      </c>
      <c r="D142" s="54" t="s">
        <v>195</v>
      </c>
      <c r="E142" s="55" t="s">
        <v>117</v>
      </c>
      <c r="F142" s="65">
        <v>69990</v>
      </c>
      <c r="G142" s="56">
        <v>-0.53336889125941722</v>
      </c>
      <c r="H142" s="63">
        <v>149990</v>
      </c>
      <c r="I142" s="57">
        <v>5832.5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">
      <c r="A143" s="58" t="s">
        <v>330</v>
      </c>
      <c r="B143" s="54" t="s">
        <v>333</v>
      </c>
      <c r="C143" s="53" t="s">
        <v>334</v>
      </c>
      <c r="D143" s="54" t="s">
        <v>195</v>
      </c>
      <c r="E143" s="55" t="s">
        <v>117</v>
      </c>
      <c r="F143" s="65">
        <v>149990</v>
      </c>
      <c r="G143" s="56">
        <v>-0.48277526811269356</v>
      </c>
      <c r="H143" s="63">
        <v>289990</v>
      </c>
      <c r="I143" s="57">
        <v>12499.166666666666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">
      <c r="A144" s="58" t="s">
        <v>335</v>
      </c>
      <c r="B144" s="54" t="s">
        <v>336</v>
      </c>
      <c r="C144" s="53" t="s">
        <v>337</v>
      </c>
      <c r="D144" s="54" t="s">
        <v>195</v>
      </c>
      <c r="E144" s="55" t="s">
        <v>18</v>
      </c>
      <c r="F144" s="65">
        <v>1990</v>
      </c>
      <c r="G144" s="56">
        <v>-0.96682780463410567</v>
      </c>
      <c r="H144" s="63">
        <v>59990</v>
      </c>
      <c r="I144" s="57">
        <v>165.83333333333334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">
      <c r="A145" s="58" t="s">
        <v>148</v>
      </c>
      <c r="B145" s="54" t="s">
        <v>167</v>
      </c>
      <c r="C145" s="53" t="s">
        <v>168</v>
      </c>
      <c r="D145" s="54" t="s">
        <v>749</v>
      </c>
      <c r="E145" s="55" t="s">
        <v>26</v>
      </c>
      <c r="F145" s="65">
        <v>59990</v>
      </c>
      <c r="G145" s="56">
        <v>-0.2500312539067383</v>
      </c>
      <c r="H145" s="63">
        <v>79990</v>
      </c>
      <c r="I145" s="57">
        <v>4999.166666666667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">
      <c r="A146" s="51" t="s">
        <v>148</v>
      </c>
      <c r="B146" s="52" t="s">
        <v>177</v>
      </c>
      <c r="C146" s="53" t="s">
        <v>178</v>
      </c>
      <c r="D146" s="54" t="s">
        <v>17</v>
      </c>
      <c r="E146" s="55" t="s">
        <v>26</v>
      </c>
      <c r="F146" s="65">
        <v>16990</v>
      </c>
      <c r="G146" s="56">
        <v>-0.4334778259419807</v>
      </c>
      <c r="H146" s="63">
        <v>29990</v>
      </c>
      <c r="I146" s="57">
        <v>1415.8333333333333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">
      <c r="A147" s="58" t="s">
        <v>148</v>
      </c>
      <c r="B147" s="54" t="s">
        <v>159</v>
      </c>
      <c r="C147" s="53" t="s">
        <v>160</v>
      </c>
      <c r="D147" s="54" t="s">
        <v>742</v>
      </c>
      <c r="E147" s="55" t="s">
        <v>26</v>
      </c>
      <c r="F147" s="66">
        <v>18990</v>
      </c>
      <c r="G147" s="56">
        <v>-5.002501250625313E-2</v>
      </c>
      <c r="H147" s="69">
        <v>19990</v>
      </c>
      <c r="I147" s="57">
        <v>1582.5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">
      <c r="A148" s="51" t="s">
        <v>148</v>
      </c>
      <c r="B148" s="52" t="s">
        <v>338</v>
      </c>
      <c r="C148" s="53" t="s">
        <v>339</v>
      </c>
      <c r="D148" s="54" t="s">
        <v>195</v>
      </c>
      <c r="E148" s="55" t="s">
        <v>26</v>
      </c>
      <c r="F148" s="65">
        <v>9990</v>
      </c>
      <c r="G148" s="56">
        <v>-0.66688896298766254</v>
      </c>
      <c r="H148" s="63">
        <v>29990</v>
      </c>
      <c r="I148" s="57">
        <v>832.5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">
      <c r="A149" s="51" t="s">
        <v>148</v>
      </c>
      <c r="B149" s="52" t="s">
        <v>366</v>
      </c>
      <c r="C149" s="53" t="s">
        <v>367</v>
      </c>
      <c r="D149" s="54" t="s">
        <v>195</v>
      </c>
      <c r="E149" s="55" t="s">
        <v>26</v>
      </c>
      <c r="F149" s="65">
        <v>4990</v>
      </c>
      <c r="G149" s="56">
        <v>-0.94454939437715302</v>
      </c>
      <c r="H149" s="63">
        <v>89990</v>
      </c>
      <c r="I149" s="57">
        <v>415.83333333333331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">
      <c r="A150" s="58" t="s">
        <v>148</v>
      </c>
      <c r="B150" s="54" t="s">
        <v>356</v>
      </c>
      <c r="C150" s="53" t="s">
        <v>357</v>
      </c>
      <c r="D150" s="54" t="s">
        <v>195</v>
      </c>
      <c r="E150" s="55" t="s">
        <v>26</v>
      </c>
      <c r="F150" s="65">
        <v>1990</v>
      </c>
      <c r="G150" s="56">
        <v>-0.93364454818272757</v>
      </c>
      <c r="H150" s="63">
        <v>29990</v>
      </c>
      <c r="I150" s="57">
        <v>165.83333333333334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">
      <c r="A151" s="58" t="s">
        <v>148</v>
      </c>
      <c r="B151" s="54" t="s">
        <v>149</v>
      </c>
      <c r="C151" s="53" t="s">
        <v>150</v>
      </c>
      <c r="D151" s="54" t="s">
        <v>742</v>
      </c>
      <c r="E151" s="55" t="s">
        <v>26</v>
      </c>
      <c r="F151" s="66">
        <v>64990</v>
      </c>
      <c r="G151" s="56">
        <v>-0.27780864540504502</v>
      </c>
      <c r="H151" s="69">
        <v>89990</v>
      </c>
      <c r="I151" s="57">
        <v>5415.833333333333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">
      <c r="A152" s="58" t="s">
        <v>148</v>
      </c>
      <c r="B152" s="54" t="s">
        <v>171</v>
      </c>
      <c r="C152" s="53" t="s">
        <v>172</v>
      </c>
      <c r="D152" s="54" t="s">
        <v>17</v>
      </c>
      <c r="E152" s="55" t="s">
        <v>26</v>
      </c>
      <c r="F152" s="65">
        <v>39990</v>
      </c>
      <c r="G152" s="56">
        <v>-0.42863266180882986</v>
      </c>
      <c r="H152" s="63">
        <v>69990</v>
      </c>
      <c r="I152" s="57">
        <v>3332.5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">
      <c r="A153" s="58" t="s">
        <v>148</v>
      </c>
      <c r="B153" s="54" t="s">
        <v>964</v>
      </c>
      <c r="C153" s="53" t="s">
        <v>965</v>
      </c>
      <c r="D153" s="54" t="s">
        <v>742</v>
      </c>
      <c r="E153" s="55" t="s">
        <v>26</v>
      </c>
      <c r="F153" s="66">
        <v>39990</v>
      </c>
      <c r="G153" s="56">
        <v>-0.42863266180882986</v>
      </c>
      <c r="H153" s="69">
        <v>69990</v>
      </c>
      <c r="I153" s="57">
        <v>3332.5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">
      <c r="A154" s="58" t="s">
        <v>148</v>
      </c>
      <c r="B154" s="54" t="s">
        <v>966</v>
      </c>
      <c r="C154" s="53" t="s">
        <v>967</v>
      </c>
      <c r="D154" s="54" t="s">
        <v>742</v>
      </c>
      <c r="E154" s="55" t="s">
        <v>26</v>
      </c>
      <c r="F154" s="66">
        <v>39990</v>
      </c>
      <c r="G154" s="56">
        <v>-0.42863266180882986</v>
      </c>
      <c r="H154" s="69">
        <v>69990</v>
      </c>
      <c r="I154" s="57">
        <v>3332.5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">
      <c r="A155" s="58" t="s">
        <v>148</v>
      </c>
      <c r="B155" s="54" t="s">
        <v>153</v>
      </c>
      <c r="C155" s="53" t="s">
        <v>154</v>
      </c>
      <c r="D155" s="54" t="s">
        <v>17</v>
      </c>
      <c r="E155" s="55" t="s">
        <v>26</v>
      </c>
      <c r="F155" s="66">
        <v>74990</v>
      </c>
      <c r="G155" s="56">
        <v>-0.25002500250025006</v>
      </c>
      <c r="H155" s="69">
        <v>99990</v>
      </c>
      <c r="I155" s="57">
        <v>6249.166666666667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">
      <c r="A156" s="58" t="s">
        <v>148</v>
      </c>
      <c r="B156" s="54" t="s">
        <v>173</v>
      </c>
      <c r="C156" s="53" t="s">
        <v>174</v>
      </c>
      <c r="D156" s="54" t="s">
        <v>17</v>
      </c>
      <c r="E156" s="55" t="s">
        <v>26</v>
      </c>
      <c r="F156" s="65">
        <v>15990</v>
      </c>
      <c r="G156" s="56">
        <v>-0.46682227409136379</v>
      </c>
      <c r="H156" s="63">
        <v>29990</v>
      </c>
      <c r="I156" s="57">
        <v>1332.5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">
      <c r="A157" s="58" t="s">
        <v>148</v>
      </c>
      <c r="B157" s="54" t="s">
        <v>968</v>
      </c>
      <c r="C157" s="53" t="s">
        <v>969</v>
      </c>
      <c r="D157" s="54" t="s">
        <v>742</v>
      </c>
      <c r="E157" s="55" t="s">
        <v>26</v>
      </c>
      <c r="F157" s="66">
        <v>15990</v>
      </c>
      <c r="G157" s="56">
        <v>-0.46682227409136379</v>
      </c>
      <c r="H157" s="69">
        <v>29990</v>
      </c>
      <c r="I157" s="57">
        <v>1332.5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">
      <c r="A158" s="58" t="s">
        <v>148</v>
      </c>
      <c r="B158" s="54" t="s">
        <v>175</v>
      </c>
      <c r="C158" s="53" t="s">
        <v>176</v>
      </c>
      <c r="D158" s="54" t="s">
        <v>17</v>
      </c>
      <c r="E158" s="55" t="s">
        <v>21</v>
      </c>
      <c r="F158" s="65">
        <v>24990</v>
      </c>
      <c r="G158" s="56">
        <v>-0.58343057176196034</v>
      </c>
      <c r="H158" s="63">
        <v>59990</v>
      </c>
      <c r="I158" s="57">
        <v>2082.5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">
      <c r="A159" s="51" t="s">
        <v>148</v>
      </c>
      <c r="B159" s="52" t="s">
        <v>183</v>
      </c>
      <c r="C159" s="53" t="s">
        <v>184</v>
      </c>
      <c r="D159" s="54" t="s">
        <v>17</v>
      </c>
      <c r="E159" s="55" t="s">
        <v>21</v>
      </c>
      <c r="F159" s="65">
        <v>12990</v>
      </c>
      <c r="G159" s="56">
        <v>-0.13342228152101399</v>
      </c>
      <c r="H159" s="63">
        <v>14990</v>
      </c>
      <c r="I159" s="57">
        <v>1082.5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">
      <c r="A160" s="58" t="s">
        <v>148</v>
      </c>
      <c r="B160" s="54" t="s">
        <v>362</v>
      </c>
      <c r="C160" s="53" t="s">
        <v>363</v>
      </c>
      <c r="D160" s="54" t="s">
        <v>195</v>
      </c>
      <c r="E160" s="55" t="s">
        <v>21</v>
      </c>
      <c r="F160" s="65">
        <v>16990</v>
      </c>
      <c r="G160" s="56">
        <v>-0.57514378594648663</v>
      </c>
      <c r="H160" s="63">
        <v>39990</v>
      </c>
      <c r="I160" s="57">
        <v>1415.8333333333333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">
      <c r="A161" s="58" t="s">
        <v>148</v>
      </c>
      <c r="B161" s="54" t="s">
        <v>187</v>
      </c>
      <c r="C161" s="53" t="s">
        <v>188</v>
      </c>
      <c r="D161" s="54" t="s">
        <v>17</v>
      </c>
      <c r="E161" s="55" t="s">
        <v>18</v>
      </c>
      <c r="F161" s="66">
        <v>42990</v>
      </c>
      <c r="G161" s="56">
        <v>-0.33851361747961228</v>
      </c>
      <c r="H161" s="63">
        <v>64990</v>
      </c>
      <c r="I161" s="57">
        <v>3582.5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">
      <c r="A162" s="58" t="s">
        <v>148</v>
      </c>
      <c r="B162" s="54" t="s">
        <v>169</v>
      </c>
      <c r="C162" s="53" t="s">
        <v>170</v>
      </c>
      <c r="D162" s="54" t="s">
        <v>17</v>
      </c>
      <c r="E162" s="55" t="s">
        <v>18</v>
      </c>
      <c r="F162" s="65">
        <v>25990</v>
      </c>
      <c r="G162" s="56">
        <v>-0.62866123731961709</v>
      </c>
      <c r="H162" s="63">
        <v>69990</v>
      </c>
      <c r="I162" s="57">
        <v>2165.8333333333335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">
      <c r="A163" s="58" t="s">
        <v>148</v>
      </c>
      <c r="B163" s="54" t="s">
        <v>346</v>
      </c>
      <c r="C163" s="53" t="s">
        <v>347</v>
      </c>
      <c r="D163" s="54" t="s">
        <v>195</v>
      </c>
      <c r="E163" s="55" t="s">
        <v>18</v>
      </c>
      <c r="F163" s="65">
        <v>29990</v>
      </c>
      <c r="G163" s="56">
        <v>-0.72733884898627155</v>
      </c>
      <c r="H163" s="63">
        <v>109990</v>
      </c>
      <c r="I163" s="57">
        <v>2499.1666666666665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">
      <c r="A164" s="58" t="s">
        <v>148</v>
      </c>
      <c r="B164" s="54" t="s">
        <v>348</v>
      </c>
      <c r="C164" s="53" t="s">
        <v>349</v>
      </c>
      <c r="D164" s="54" t="s">
        <v>195</v>
      </c>
      <c r="E164" s="55" t="s">
        <v>18</v>
      </c>
      <c r="F164" s="65">
        <v>19990</v>
      </c>
      <c r="G164" s="56">
        <v>-0.66677779629938327</v>
      </c>
      <c r="H164" s="63">
        <v>59990</v>
      </c>
      <c r="I164" s="57">
        <v>1665.8333333333333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">
      <c r="A165" s="58" t="s">
        <v>148</v>
      </c>
      <c r="B165" s="54" t="s">
        <v>185</v>
      </c>
      <c r="C165" s="53" t="s">
        <v>186</v>
      </c>
      <c r="D165" s="54" t="s">
        <v>17</v>
      </c>
      <c r="E165" s="55" t="s">
        <v>18</v>
      </c>
      <c r="F165" s="65">
        <v>22990</v>
      </c>
      <c r="G165" s="56">
        <v>-0.54010802160432081</v>
      </c>
      <c r="H165" s="63">
        <v>49990</v>
      </c>
      <c r="I165" s="57">
        <v>1915.8333333333333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">
      <c r="A166" s="58" t="s">
        <v>148</v>
      </c>
      <c r="B166" s="54" t="s">
        <v>350</v>
      </c>
      <c r="C166" s="53" t="s">
        <v>351</v>
      </c>
      <c r="D166" s="54" t="s">
        <v>195</v>
      </c>
      <c r="E166" s="55" t="s">
        <v>18</v>
      </c>
      <c r="F166" s="65">
        <v>9990</v>
      </c>
      <c r="G166" s="56">
        <v>-0.66688896298766254</v>
      </c>
      <c r="H166" s="63">
        <v>29990</v>
      </c>
      <c r="I166" s="57">
        <v>832.5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">
      <c r="A167" s="58" t="s">
        <v>148</v>
      </c>
      <c r="B167" s="54" t="s">
        <v>354</v>
      </c>
      <c r="C167" s="53" t="s">
        <v>355</v>
      </c>
      <c r="D167" s="54" t="s">
        <v>195</v>
      </c>
      <c r="E167" s="55" t="s">
        <v>18</v>
      </c>
      <c r="F167" s="65">
        <v>5000</v>
      </c>
      <c r="G167" s="56">
        <v>-0.83327775925308434</v>
      </c>
      <c r="H167" s="63">
        <v>29990</v>
      </c>
      <c r="I167" s="57">
        <v>416.66666666666669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">
      <c r="A168" s="58" t="s">
        <v>148</v>
      </c>
      <c r="B168" s="54" t="s">
        <v>189</v>
      </c>
      <c r="C168" s="53" t="s">
        <v>190</v>
      </c>
      <c r="D168" s="54" t="s">
        <v>749</v>
      </c>
      <c r="E168" s="55" t="s">
        <v>18</v>
      </c>
      <c r="F168" s="65">
        <v>38990</v>
      </c>
      <c r="G168" s="56">
        <v>-0.3500583430571762</v>
      </c>
      <c r="H168" s="63">
        <v>59990</v>
      </c>
      <c r="I168" s="57">
        <v>3249.1666666666665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">
      <c r="A169" s="58" t="s">
        <v>148</v>
      </c>
      <c r="B169" s="54" t="s">
        <v>151</v>
      </c>
      <c r="C169" s="53" t="s">
        <v>152</v>
      </c>
      <c r="D169" s="54" t="s">
        <v>17</v>
      </c>
      <c r="E169" s="55" t="s">
        <v>18</v>
      </c>
      <c r="F169" s="65">
        <v>25990</v>
      </c>
      <c r="G169" s="56">
        <v>-0.3500875218804701</v>
      </c>
      <c r="H169" s="63">
        <v>39990</v>
      </c>
      <c r="I169" s="57">
        <v>2165.8333333333335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">
      <c r="A170" s="58" t="s">
        <v>148</v>
      </c>
      <c r="B170" s="54" t="s">
        <v>155</v>
      </c>
      <c r="C170" s="53" t="s">
        <v>156</v>
      </c>
      <c r="D170" s="54" t="s">
        <v>17</v>
      </c>
      <c r="E170" s="55" t="s">
        <v>18</v>
      </c>
      <c r="F170" s="65">
        <v>179990</v>
      </c>
      <c r="G170" s="56">
        <v>-0.40001333377779258</v>
      </c>
      <c r="H170" s="63">
        <v>299990</v>
      </c>
      <c r="I170" s="57">
        <v>14999.166666666666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">
      <c r="A171" s="58" t="s">
        <v>148</v>
      </c>
      <c r="B171" s="54" t="s">
        <v>970</v>
      </c>
      <c r="C171" s="53" t="s">
        <v>971</v>
      </c>
      <c r="D171" s="54" t="s">
        <v>742</v>
      </c>
      <c r="E171" s="55" t="s">
        <v>18</v>
      </c>
      <c r="F171" s="66">
        <v>39990</v>
      </c>
      <c r="G171" s="56">
        <v>-0.20004000800160027</v>
      </c>
      <c r="H171" s="69">
        <v>49990</v>
      </c>
      <c r="I171" s="57">
        <v>3332.5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">
      <c r="A172" s="58" t="s">
        <v>148</v>
      </c>
      <c r="B172" s="54" t="s">
        <v>972</v>
      </c>
      <c r="C172" s="53" t="s">
        <v>973</v>
      </c>
      <c r="D172" s="54" t="s">
        <v>742</v>
      </c>
      <c r="E172" s="55" t="s">
        <v>18</v>
      </c>
      <c r="F172" s="66">
        <v>79990</v>
      </c>
      <c r="G172" s="56">
        <v>-0.20002000200019998</v>
      </c>
      <c r="H172" s="69">
        <v>99990</v>
      </c>
      <c r="I172" s="57">
        <v>6665.833333333333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">
      <c r="A173" s="58" t="s">
        <v>148</v>
      </c>
      <c r="B173" s="54" t="s">
        <v>974</v>
      </c>
      <c r="C173" s="53" t="s">
        <v>975</v>
      </c>
      <c r="D173" s="54" t="s">
        <v>742</v>
      </c>
      <c r="E173" s="55" t="s">
        <v>18</v>
      </c>
      <c r="F173" s="66">
        <v>89990</v>
      </c>
      <c r="G173" s="56">
        <v>-0.18183471224656789</v>
      </c>
      <c r="H173" s="69">
        <v>109990</v>
      </c>
      <c r="I173" s="57">
        <v>7499.166666666667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">
      <c r="A174" s="58" t="s">
        <v>148</v>
      </c>
      <c r="B174" s="54" t="s">
        <v>976</v>
      </c>
      <c r="C174" s="53" t="s">
        <v>977</v>
      </c>
      <c r="D174" s="54" t="s">
        <v>742</v>
      </c>
      <c r="E174" s="55" t="s">
        <v>18</v>
      </c>
      <c r="F174" s="66">
        <v>44990</v>
      </c>
      <c r="G174" s="56">
        <v>-0.2500416736122687</v>
      </c>
      <c r="H174" s="69">
        <v>59990</v>
      </c>
      <c r="I174" s="57">
        <v>3749.1666666666665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">
      <c r="A175" s="58" t="s">
        <v>148</v>
      </c>
      <c r="B175" s="54" t="s">
        <v>978</v>
      </c>
      <c r="C175" s="53" t="s">
        <v>979</v>
      </c>
      <c r="D175" s="54" t="s">
        <v>742</v>
      </c>
      <c r="E175" s="55" t="s">
        <v>18</v>
      </c>
      <c r="F175" s="66">
        <v>79990</v>
      </c>
      <c r="G175" s="56">
        <v>-0.11112345816201796</v>
      </c>
      <c r="H175" s="69">
        <v>89990</v>
      </c>
      <c r="I175" s="57">
        <v>6665.833333333333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">
      <c r="A176" s="58" t="s">
        <v>148</v>
      </c>
      <c r="B176" s="54" t="s">
        <v>980</v>
      </c>
      <c r="C176" s="53" t="s">
        <v>981</v>
      </c>
      <c r="D176" s="54" t="s">
        <v>742</v>
      </c>
      <c r="E176" s="55" t="s">
        <v>18</v>
      </c>
      <c r="F176" s="66">
        <v>129990</v>
      </c>
      <c r="G176" s="56">
        <v>0</v>
      </c>
      <c r="H176" s="69">
        <v>129990</v>
      </c>
      <c r="I176" s="57">
        <v>10832.5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">
      <c r="A177" s="58" t="s">
        <v>148</v>
      </c>
      <c r="B177" s="54" t="s">
        <v>982</v>
      </c>
      <c r="C177" s="53" t="s">
        <v>983</v>
      </c>
      <c r="D177" s="54" t="s">
        <v>742</v>
      </c>
      <c r="E177" s="55" t="s">
        <v>18</v>
      </c>
      <c r="F177" s="66">
        <v>164990</v>
      </c>
      <c r="G177" s="56">
        <v>-0.25001136415291603</v>
      </c>
      <c r="H177" s="69">
        <v>219990</v>
      </c>
      <c r="I177" s="57">
        <v>13749.166666666666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">
      <c r="A178" s="58" t="s">
        <v>148</v>
      </c>
      <c r="B178" s="54" t="s">
        <v>161</v>
      </c>
      <c r="C178" s="53" t="s">
        <v>162</v>
      </c>
      <c r="D178" s="54" t="s">
        <v>17</v>
      </c>
      <c r="E178" s="55" t="s">
        <v>117</v>
      </c>
      <c r="F178" s="65">
        <v>299990</v>
      </c>
      <c r="G178" s="56">
        <v>-0.25000625015625388</v>
      </c>
      <c r="H178" s="63">
        <v>399990</v>
      </c>
      <c r="I178" s="57">
        <v>24999.166666666668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">
      <c r="A179" s="51" t="s">
        <v>148</v>
      </c>
      <c r="B179" s="52" t="s">
        <v>181</v>
      </c>
      <c r="C179" s="53" t="s">
        <v>182</v>
      </c>
      <c r="D179" s="54" t="s">
        <v>749</v>
      </c>
      <c r="E179" s="55" t="s">
        <v>117</v>
      </c>
      <c r="F179" s="65">
        <v>269990</v>
      </c>
      <c r="G179" s="56">
        <v>-0.40000888908642418</v>
      </c>
      <c r="H179" s="63">
        <v>449990</v>
      </c>
      <c r="I179" s="57">
        <v>22499.166666666668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">
      <c r="A180" s="58" t="s">
        <v>148</v>
      </c>
      <c r="B180" s="54" t="s">
        <v>157</v>
      </c>
      <c r="C180" s="53" t="s">
        <v>158</v>
      </c>
      <c r="D180" s="54" t="s">
        <v>742</v>
      </c>
      <c r="E180" s="55" t="s">
        <v>117</v>
      </c>
      <c r="F180" s="65">
        <v>459990</v>
      </c>
      <c r="G180" s="56">
        <v>-0.23333722228703813</v>
      </c>
      <c r="H180" s="63">
        <v>599990</v>
      </c>
      <c r="I180" s="57">
        <v>38332.5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">
      <c r="A181" s="58" t="s">
        <v>148</v>
      </c>
      <c r="B181" s="54" t="s">
        <v>191</v>
      </c>
      <c r="C181" s="53" t="s">
        <v>192</v>
      </c>
      <c r="D181" s="54" t="s">
        <v>17</v>
      </c>
      <c r="E181" s="55" t="s">
        <v>117</v>
      </c>
      <c r="F181" s="65">
        <v>179990</v>
      </c>
      <c r="G181" s="56">
        <v>-0.40001333377779258</v>
      </c>
      <c r="H181" s="63">
        <v>299990</v>
      </c>
      <c r="I181" s="57">
        <v>14999.166666666666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">
      <c r="A182" s="51" t="s">
        <v>148</v>
      </c>
      <c r="B182" s="52" t="s">
        <v>179</v>
      </c>
      <c r="C182" s="53" t="s">
        <v>180</v>
      </c>
      <c r="D182" s="54" t="s">
        <v>17</v>
      </c>
      <c r="E182" s="55" t="s">
        <v>52</v>
      </c>
      <c r="F182" s="66">
        <v>29990</v>
      </c>
      <c r="G182" s="56">
        <v>-0.40008001600320064</v>
      </c>
      <c r="H182" s="63">
        <v>49990</v>
      </c>
      <c r="I182" s="57">
        <v>2499.1666666666665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">
      <c r="A183" s="51" t="s">
        <v>148</v>
      </c>
      <c r="B183" s="52" t="s">
        <v>340</v>
      </c>
      <c r="C183" s="53" t="s">
        <v>341</v>
      </c>
      <c r="D183" s="54" t="s">
        <v>195</v>
      </c>
      <c r="E183" s="55" t="s">
        <v>52</v>
      </c>
      <c r="F183" s="65">
        <v>8990</v>
      </c>
      <c r="G183" s="56">
        <v>-0.77519379844961245</v>
      </c>
      <c r="H183" s="63">
        <v>39990</v>
      </c>
      <c r="I183" s="57">
        <v>749.16666666666663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">
      <c r="A184" s="51" t="s">
        <v>148</v>
      </c>
      <c r="B184" s="52" t="s">
        <v>360</v>
      </c>
      <c r="C184" s="53" t="s">
        <v>361</v>
      </c>
      <c r="D184" s="54" t="s">
        <v>195</v>
      </c>
      <c r="E184" s="55" t="s">
        <v>52</v>
      </c>
      <c r="F184" s="65">
        <v>7990</v>
      </c>
      <c r="G184" s="56">
        <v>-0.80020005001250316</v>
      </c>
      <c r="H184" s="63">
        <v>39990</v>
      </c>
      <c r="I184" s="57">
        <v>665.83333333333337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">
      <c r="A185" s="51" t="s">
        <v>148</v>
      </c>
      <c r="B185" s="52" t="s">
        <v>352</v>
      </c>
      <c r="C185" s="53" t="s">
        <v>353</v>
      </c>
      <c r="D185" s="54" t="s">
        <v>195</v>
      </c>
      <c r="E185" s="55" t="s">
        <v>52</v>
      </c>
      <c r="F185" s="65">
        <v>59990</v>
      </c>
      <c r="G185" s="56">
        <v>-0.70003500175008748</v>
      </c>
      <c r="H185" s="63">
        <v>199990</v>
      </c>
      <c r="I185" s="57">
        <v>4999.166666666667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">
      <c r="A186" s="51" t="s">
        <v>148</v>
      </c>
      <c r="B186" s="52" t="s">
        <v>342</v>
      </c>
      <c r="C186" s="53" t="s">
        <v>343</v>
      </c>
      <c r="D186" s="54" t="s">
        <v>195</v>
      </c>
      <c r="E186" s="55" t="s">
        <v>52</v>
      </c>
      <c r="F186" s="65">
        <v>19990</v>
      </c>
      <c r="G186" s="56">
        <v>-0.73343112414988665</v>
      </c>
      <c r="H186" s="63">
        <v>74990</v>
      </c>
      <c r="I186" s="57">
        <v>1665.8333333333333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">
      <c r="A187" s="58" t="s">
        <v>148</v>
      </c>
      <c r="B187" s="54" t="s">
        <v>344</v>
      </c>
      <c r="C187" s="53" t="s">
        <v>345</v>
      </c>
      <c r="D187" s="54" t="s">
        <v>195</v>
      </c>
      <c r="E187" s="55" t="s">
        <v>52</v>
      </c>
      <c r="F187" s="66">
        <v>19990</v>
      </c>
      <c r="G187" s="56">
        <v>-0.8462189399184552</v>
      </c>
      <c r="H187" s="63">
        <v>129990</v>
      </c>
      <c r="I187" s="57">
        <v>1665.8333333333333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">
      <c r="A188" s="58" t="s">
        <v>148</v>
      </c>
      <c r="B188" s="54" t="s">
        <v>163</v>
      </c>
      <c r="C188" s="53" t="s">
        <v>164</v>
      </c>
      <c r="D188" s="54" t="s">
        <v>17</v>
      </c>
      <c r="E188" s="55" t="s">
        <v>52</v>
      </c>
      <c r="F188" s="65">
        <v>43990</v>
      </c>
      <c r="G188" s="56">
        <v>-0.37148164023431918</v>
      </c>
      <c r="H188" s="63">
        <v>69990</v>
      </c>
      <c r="I188" s="57">
        <v>3665.8333333333335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">
      <c r="A189" s="58" t="s">
        <v>148</v>
      </c>
      <c r="B189" s="54" t="s">
        <v>165</v>
      </c>
      <c r="C189" s="53" t="s">
        <v>166</v>
      </c>
      <c r="D189" s="54" t="s">
        <v>17</v>
      </c>
      <c r="E189" s="55" t="s">
        <v>52</v>
      </c>
      <c r="F189" s="65">
        <v>43990</v>
      </c>
      <c r="G189" s="56">
        <v>-0.37148164023431918</v>
      </c>
      <c r="H189" s="63">
        <v>69990</v>
      </c>
      <c r="I189" s="57">
        <v>3665.8333333333335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">
      <c r="A190" s="58" t="s">
        <v>148</v>
      </c>
      <c r="B190" s="54" t="s">
        <v>358</v>
      </c>
      <c r="C190" s="53" t="s">
        <v>359</v>
      </c>
      <c r="D190" s="54" t="s">
        <v>195</v>
      </c>
      <c r="E190" s="55" t="s">
        <v>52</v>
      </c>
      <c r="F190" s="65">
        <v>4990</v>
      </c>
      <c r="G190" s="56">
        <v>-0.90018003600720142</v>
      </c>
      <c r="H190" s="63">
        <v>49990</v>
      </c>
      <c r="I190" s="57">
        <v>415.83333333333331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thickBot="1" x14ac:dyDescent="0.25">
      <c r="A191" s="58" t="s">
        <v>148</v>
      </c>
      <c r="B191" s="54" t="s">
        <v>364</v>
      </c>
      <c r="C191" s="53" t="s">
        <v>365</v>
      </c>
      <c r="D191" s="54" t="s">
        <v>195</v>
      </c>
      <c r="E191" s="55" t="s">
        <v>52</v>
      </c>
      <c r="F191" s="65">
        <v>18990</v>
      </c>
      <c r="G191" s="56">
        <v>-0.62012402480496098</v>
      </c>
      <c r="H191" s="64">
        <v>49990</v>
      </c>
      <c r="I191" s="57">
        <v>1582.5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thickBot="1" x14ac:dyDescent="0.25">
      <c r="A192" s="59" t="s">
        <v>368</v>
      </c>
      <c r="B192" s="60" t="s">
        <v>369</v>
      </c>
      <c r="C192" s="61" t="s">
        <v>370</v>
      </c>
      <c r="D192" s="60" t="s">
        <v>195</v>
      </c>
      <c r="E192" s="62" t="s">
        <v>21</v>
      </c>
      <c r="F192" s="68">
        <v>9990</v>
      </c>
      <c r="G192" s="56">
        <v>-0.5002501250625313</v>
      </c>
      <c r="H192" s="64">
        <v>19990</v>
      </c>
      <c r="I192" s="57">
        <v>832.5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25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25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25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25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25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25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25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1:12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1:12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1:12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1:12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1:12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1:12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1:12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1:12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1:12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1:12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1:12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1:12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1:12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1:12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1:12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1:12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1:12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1:12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1:12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1:12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1:12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1:12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1:12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1:12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1:12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1:12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1:12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1:12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1:12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1:12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1:12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1:12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1:12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1:12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1:12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1:12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1:12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1:12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2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1:12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1:12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1:12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1:12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2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1:12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1:12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2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1:12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spans="1:12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1:12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spans="1:12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1:12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spans="1:12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spans="1:12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spans="1:12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spans="1:12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spans="1:12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spans="1:12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spans="1:12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spans="1:12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spans="1:12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spans="1:12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spans="1:12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spans="1:12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1:12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spans="1:12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spans="1:12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spans="1:12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spans="1:12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1:12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spans="1:12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spans="1:12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spans="1:12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spans="1:12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spans="1:12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spans="1:12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spans="1:12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spans="1:12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spans="1:12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spans="1:12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spans="1:12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spans="1:12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spans="1:12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spans="1:12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spans="1:12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1:12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spans="1:12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spans="1:12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spans="1:12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spans="1:12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1:12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spans="1:12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1:12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1:12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1:12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spans="1:12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1:12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spans="1:12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1:12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spans="1:12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1:12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1:12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spans="1:12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1:12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spans="1:12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spans="1:12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1:12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spans="1:12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1:12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spans="1:12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spans="1:12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spans="1:12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1:12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spans="1:12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1:12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spans="1:12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spans="1:12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1:12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1:12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spans="1:12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spans="1:12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spans="1:12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spans="1:12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spans="1:12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1:12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spans="1:12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spans="1:12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spans="1:12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spans="1:12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1:12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1:12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spans="1:12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spans="1:12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spans="1:12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1:12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spans="1:12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spans="1:12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spans="1:12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1:12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spans="1:12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spans="1:12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spans="1:12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spans="1:12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spans="1:12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1:12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spans="1:12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spans="1:12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spans="1:12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spans="1:12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spans="1:12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spans="1:12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spans="1:12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1:12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spans="1:12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spans="1:12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spans="1:12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spans="1:12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1:12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spans="1:12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1:12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spans="1:12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spans="1:12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spans="1:12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spans="1:12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</sheetData>
  <autoFilter ref="A1:I192" xr:uid="{00000000-0009-0000-0000-000000000000}"/>
  <pageMargins left="0" right="3.937007874015748E-2" top="3.937007874015748E-2" bottom="0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699"/>
    <pageSetUpPr fitToPage="1"/>
  </sheetPr>
  <dimension ref="A1:BS725"/>
  <sheetViews>
    <sheetView showGridLines="0" workbookViewId="0">
      <pane xSplit="2" ySplit="1" topLeftCell="C2" activePane="bottomRight" state="frozen"/>
      <selection activeCell="F5" sqref="F5"/>
      <selection pane="topRight" activeCell="F5" sqref="F5"/>
      <selection pane="bottomLeft" activeCell="F5" sqref="F5"/>
      <selection pane="bottomRight" activeCell="Q1" sqref="Q1:R1048576"/>
    </sheetView>
  </sheetViews>
  <sheetFormatPr baseColWidth="10" defaultColWidth="14.5" defaultRowHeight="15" customHeight="1" x14ac:dyDescent="0.2"/>
  <cols>
    <col min="1" max="1" width="32" customWidth="1"/>
    <col min="2" max="2" width="10.83203125" customWidth="1"/>
    <col min="3" max="3" width="11.5" customWidth="1"/>
    <col min="4" max="4" width="12.5" customWidth="1"/>
    <col min="5" max="5" width="7.1640625" customWidth="1"/>
    <col min="6" max="7" width="10.5" customWidth="1"/>
    <col min="8" max="8" width="6.5" customWidth="1"/>
    <col min="9" max="9" width="11.1640625" customWidth="1"/>
    <col min="10" max="10" width="12.5" customWidth="1"/>
    <col min="11" max="11" width="6.5" customWidth="1"/>
    <col min="12" max="12" width="11.1640625" customWidth="1"/>
    <col min="14" max="14" width="6.5" customWidth="1"/>
    <col min="15" max="15" width="11.1640625" customWidth="1"/>
    <col min="16" max="16" width="11" customWidth="1"/>
    <col min="17" max="71" width="0" hidden="1" customWidth="1"/>
  </cols>
  <sheetData>
    <row r="1" spans="1:71" ht="36" x14ac:dyDescent="0.2">
      <c r="A1" s="11" t="s">
        <v>5</v>
      </c>
      <c r="B1" s="15" t="s">
        <v>6</v>
      </c>
      <c r="C1" s="16" t="s">
        <v>7</v>
      </c>
      <c r="D1" s="18" t="s">
        <v>387</v>
      </c>
      <c r="E1" s="19" t="s">
        <v>388</v>
      </c>
      <c r="F1" s="19" t="s">
        <v>389</v>
      </c>
      <c r="G1" s="16" t="s">
        <v>390</v>
      </c>
      <c r="H1" s="20" t="s">
        <v>388</v>
      </c>
      <c r="I1" s="20" t="s">
        <v>391</v>
      </c>
      <c r="J1" s="18" t="s">
        <v>392</v>
      </c>
      <c r="K1" s="19" t="s">
        <v>388</v>
      </c>
      <c r="L1" s="19" t="s">
        <v>393</v>
      </c>
      <c r="M1" s="22" t="s">
        <v>395</v>
      </c>
      <c r="N1" s="23" t="s">
        <v>388</v>
      </c>
      <c r="O1" s="23" t="s">
        <v>396</v>
      </c>
      <c r="P1" s="21" t="s">
        <v>12</v>
      </c>
      <c r="S1" s="1" t="s">
        <v>384</v>
      </c>
      <c r="T1" s="17" t="s">
        <v>385</v>
      </c>
      <c r="U1" s="17" t="s">
        <v>386</v>
      </c>
      <c r="V1" s="1" t="s">
        <v>384</v>
      </c>
      <c r="W1" s="17" t="s">
        <v>385</v>
      </c>
      <c r="X1" s="17" t="s">
        <v>386</v>
      </c>
      <c r="Y1" s="1" t="s">
        <v>384</v>
      </c>
      <c r="Z1" s="17" t="s">
        <v>385</v>
      </c>
      <c r="AA1" s="17" t="s">
        <v>386</v>
      </c>
      <c r="AB1" s="18" t="s">
        <v>387</v>
      </c>
      <c r="AC1" s="19" t="s">
        <v>388</v>
      </c>
      <c r="AD1" s="19" t="s">
        <v>389</v>
      </c>
      <c r="AE1" s="16" t="s">
        <v>390</v>
      </c>
      <c r="AF1" s="20" t="s">
        <v>388</v>
      </c>
      <c r="AG1" s="20" t="s">
        <v>389</v>
      </c>
      <c r="AH1" s="18" t="s">
        <v>392</v>
      </c>
      <c r="AI1" s="19" t="s">
        <v>388</v>
      </c>
      <c r="AJ1" s="19" t="s">
        <v>393</v>
      </c>
      <c r="AK1" s="21" t="s">
        <v>394</v>
      </c>
      <c r="AL1" s="16" t="s">
        <v>388</v>
      </c>
      <c r="AM1" s="22" t="s">
        <v>395</v>
      </c>
      <c r="AN1" s="23" t="s">
        <v>388</v>
      </c>
      <c r="AO1" s="23" t="s">
        <v>393</v>
      </c>
      <c r="AP1" s="21" t="s">
        <v>12</v>
      </c>
      <c r="AQ1" s="24" t="s">
        <v>397</v>
      </c>
      <c r="AR1" s="24" t="s">
        <v>398</v>
      </c>
      <c r="AT1" s="1" t="s">
        <v>384</v>
      </c>
      <c r="AU1" s="17" t="s">
        <v>385</v>
      </c>
      <c r="AV1" s="17" t="s">
        <v>386</v>
      </c>
      <c r="AW1" s="1" t="s">
        <v>384</v>
      </c>
      <c r="AX1" s="17" t="s">
        <v>385</v>
      </c>
      <c r="AY1" s="17" t="s">
        <v>386</v>
      </c>
      <c r="AZ1" s="1" t="s">
        <v>384</v>
      </c>
      <c r="BA1" s="17" t="s">
        <v>385</v>
      </c>
      <c r="BB1" s="17" t="s">
        <v>386</v>
      </c>
      <c r="BC1" s="18" t="s">
        <v>387</v>
      </c>
      <c r="BD1" s="19" t="s">
        <v>388</v>
      </c>
      <c r="BE1" s="19" t="s">
        <v>389</v>
      </c>
      <c r="BF1" s="16" t="s">
        <v>390</v>
      </c>
      <c r="BG1" s="20" t="s">
        <v>388</v>
      </c>
      <c r="BH1" s="20" t="s">
        <v>389</v>
      </c>
      <c r="BI1" s="18" t="s">
        <v>392</v>
      </c>
      <c r="BJ1" s="19" t="s">
        <v>388</v>
      </c>
      <c r="BK1" s="19" t="s">
        <v>393</v>
      </c>
      <c r="BL1" s="21" t="s">
        <v>394</v>
      </c>
      <c r="BM1" s="16" t="s">
        <v>388</v>
      </c>
      <c r="BN1" s="22" t="s">
        <v>395</v>
      </c>
      <c r="BO1" s="23" t="s">
        <v>388</v>
      </c>
      <c r="BP1" s="23" t="s">
        <v>393</v>
      </c>
      <c r="BQ1" s="21" t="s">
        <v>12</v>
      </c>
      <c r="BR1" s="24" t="s">
        <v>397</v>
      </c>
      <c r="BS1" s="24" t="s">
        <v>398</v>
      </c>
    </row>
    <row r="2" spans="1:71" ht="15.75" customHeight="1" x14ac:dyDescent="0.2">
      <c r="A2" s="25" t="s">
        <v>399</v>
      </c>
      <c r="B2" s="26" t="s">
        <v>400</v>
      </c>
      <c r="C2" s="27" t="s">
        <v>401</v>
      </c>
      <c r="D2" s="50">
        <v>40800</v>
      </c>
      <c r="E2" s="30">
        <f>+(D2-$P2)/$P2</f>
        <v>-0.31988664777462911</v>
      </c>
      <c r="F2" s="50">
        <f t="shared" ref="F2" si="0">D2/24</f>
        <v>1700</v>
      </c>
      <c r="G2" s="50">
        <v>40800</v>
      </c>
      <c r="H2" s="30">
        <f>+(G2-$P2)/$P2</f>
        <v>-0.31988664777462911</v>
      </c>
      <c r="I2" s="50">
        <f t="shared" ref="I2" si="1">G2/24</f>
        <v>1700</v>
      </c>
      <c r="J2" s="50">
        <v>40800</v>
      </c>
      <c r="K2" s="30">
        <f>+(J2-$P2)/$P2</f>
        <v>-0.31988664777462911</v>
      </c>
      <c r="L2" s="50">
        <f t="shared" ref="L2" si="2">J2/12</f>
        <v>3400</v>
      </c>
      <c r="M2" s="50">
        <v>52800</v>
      </c>
      <c r="N2" s="30">
        <f t="shared" ref="N2" si="3">+(M2-$P2)/$P2</f>
        <v>-0.11985330888481413</v>
      </c>
      <c r="O2" s="50">
        <f t="shared" ref="O2" si="4">M2/12</f>
        <v>4400</v>
      </c>
      <c r="P2" s="50">
        <v>59990</v>
      </c>
      <c r="Q2" t="s">
        <v>754</v>
      </c>
      <c r="R2" t="e">
        <f>VLOOKUP(B2,#REF!,1,0)</f>
        <v>#REF!</v>
      </c>
      <c r="S2" s="50">
        <v>0</v>
      </c>
      <c r="T2" s="50">
        <v>0</v>
      </c>
      <c r="U2" s="50">
        <v>0</v>
      </c>
      <c r="V2" s="50">
        <v>0</v>
      </c>
      <c r="W2" s="50">
        <v>0</v>
      </c>
      <c r="X2" s="50">
        <v>0</v>
      </c>
      <c r="Y2" s="50">
        <v>0</v>
      </c>
      <c r="Z2" s="50">
        <v>0</v>
      </c>
      <c r="AA2" s="50">
        <v>0</v>
      </c>
      <c r="AB2" s="50">
        <v>0</v>
      </c>
      <c r="AC2" s="50">
        <v>0</v>
      </c>
      <c r="AD2" s="50">
        <v>0</v>
      </c>
      <c r="AE2" s="50">
        <v>0</v>
      </c>
      <c r="AF2" s="50">
        <v>0</v>
      </c>
      <c r="AG2" s="50">
        <v>0</v>
      </c>
      <c r="AH2" s="50">
        <v>0</v>
      </c>
      <c r="AI2" s="50">
        <v>0</v>
      </c>
      <c r="AJ2" s="50">
        <v>0</v>
      </c>
      <c r="AK2" s="50">
        <v>6000</v>
      </c>
      <c r="AL2" s="50">
        <v>0.1000166694449075</v>
      </c>
      <c r="AM2" s="50">
        <v>6000</v>
      </c>
      <c r="AN2" s="50">
        <v>0.1000166694449075</v>
      </c>
      <c r="AO2" s="50">
        <v>500</v>
      </c>
      <c r="AP2" s="50">
        <v>0</v>
      </c>
      <c r="AQ2" s="50">
        <v>0</v>
      </c>
      <c r="AR2" s="50">
        <v>0</v>
      </c>
      <c r="AT2" s="50">
        <v>19990</v>
      </c>
      <c r="AU2" s="50">
        <v>3500</v>
      </c>
      <c r="AV2" s="50">
        <v>82990</v>
      </c>
      <c r="AW2" s="50">
        <v>9990</v>
      </c>
      <c r="AX2" s="50">
        <v>3500</v>
      </c>
      <c r="AY2" s="50">
        <v>72990</v>
      </c>
      <c r="AZ2" s="50">
        <v>9990</v>
      </c>
      <c r="BA2" s="50">
        <v>3500</v>
      </c>
      <c r="BB2" s="50">
        <v>72990</v>
      </c>
      <c r="BC2" s="50">
        <v>40800</v>
      </c>
      <c r="BD2" s="50">
        <v>-0.31988664777462911</v>
      </c>
      <c r="BE2" s="50">
        <v>1700</v>
      </c>
      <c r="BF2" s="50">
        <v>40800</v>
      </c>
      <c r="BG2" s="50">
        <v>-0.31988664777462911</v>
      </c>
      <c r="BH2" s="50">
        <v>1700</v>
      </c>
      <c r="BI2" s="50">
        <v>40800</v>
      </c>
      <c r="BJ2" s="50">
        <v>-0.31988664777462911</v>
      </c>
      <c r="BK2" s="50">
        <v>3400</v>
      </c>
      <c r="BL2" s="50">
        <v>46800</v>
      </c>
      <c r="BM2" s="50">
        <v>-0.21986997832972163</v>
      </c>
      <c r="BN2" s="50">
        <v>46800</v>
      </c>
      <c r="BO2" s="50">
        <v>-0.21986997832972163</v>
      </c>
      <c r="BP2" s="50">
        <v>3900</v>
      </c>
      <c r="BQ2" s="50">
        <v>59990</v>
      </c>
      <c r="BR2" s="50" t="s">
        <v>984</v>
      </c>
      <c r="BS2" s="50" t="s">
        <v>985</v>
      </c>
    </row>
    <row r="3" spans="1:71" ht="15.75" customHeight="1" x14ac:dyDescent="0.2">
      <c r="A3" s="25" t="s">
        <v>750</v>
      </c>
      <c r="B3" s="26" t="s">
        <v>751</v>
      </c>
      <c r="C3" s="27" t="s">
        <v>401</v>
      </c>
      <c r="D3" s="50">
        <v>40800</v>
      </c>
      <c r="E3" s="30">
        <f>+(D3-$P3)/$P3</f>
        <v>-0.31988664777462911</v>
      </c>
      <c r="F3" s="50">
        <f t="shared" ref="F3:F61" si="5">D3/24</f>
        <v>1700</v>
      </c>
      <c r="G3" s="50">
        <v>40800</v>
      </c>
      <c r="H3" s="30">
        <f>+(G3-$P3)/$P3</f>
        <v>-0.31988664777462911</v>
      </c>
      <c r="I3" s="50">
        <f t="shared" ref="I3:I61" si="6">G3/24</f>
        <v>1700</v>
      </c>
      <c r="J3" s="50">
        <v>40800</v>
      </c>
      <c r="K3" s="30">
        <f>+(J3-$P3)/$P3</f>
        <v>-0.31988664777462911</v>
      </c>
      <c r="L3" s="50">
        <f t="shared" ref="L3:L61" si="7">J3/12</f>
        <v>3400</v>
      </c>
      <c r="M3" s="50">
        <v>52800</v>
      </c>
      <c r="N3" s="30">
        <f t="shared" ref="N3:N61" si="8">+(M3-$P3)/$P3</f>
        <v>-0.11985330888481413</v>
      </c>
      <c r="O3" s="50">
        <f t="shared" ref="O3:O61" si="9">M3/12</f>
        <v>4400</v>
      </c>
      <c r="P3" s="50">
        <v>59990</v>
      </c>
      <c r="Q3" t="s">
        <v>754</v>
      </c>
      <c r="R3" t="e">
        <f>VLOOKUP(B3,#REF!,1,0)</f>
        <v>#REF!</v>
      </c>
      <c r="S3" s="50">
        <v>0</v>
      </c>
      <c r="T3" s="50">
        <v>0</v>
      </c>
      <c r="U3" s="50">
        <v>0</v>
      </c>
      <c r="V3" s="50">
        <v>0</v>
      </c>
      <c r="W3" s="50">
        <v>0</v>
      </c>
      <c r="X3" s="50">
        <v>0</v>
      </c>
      <c r="Y3" s="50">
        <v>0</v>
      </c>
      <c r="Z3" s="50">
        <v>0</v>
      </c>
      <c r="AA3" s="50">
        <v>0</v>
      </c>
      <c r="AB3" s="50">
        <v>0</v>
      </c>
      <c r="AC3" s="50">
        <v>0</v>
      </c>
      <c r="AD3" s="50">
        <v>0</v>
      </c>
      <c r="AE3" s="50">
        <v>0</v>
      </c>
      <c r="AF3" s="50">
        <v>0</v>
      </c>
      <c r="AG3" s="50">
        <v>0</v>
      </c>
      <c r="AH3" s="50">
        <v>0</v>
      </c>
      <c r="AI3" s="50">
        <v>0</v>
      </c>
      <c r="AJ3" s="50">
        <v>0</v>
      </c>
      <c r="AK3" s="50">
        <v>6000</v>
      </c>
      <c r="AL3" s="50">
        <v>0.1000166694449075</v>
      </c>
      <c r="AM3" s="50">
        <v>6000</v>
      </c>
      <c r="AN3" s="50">
        <v>0.1000166694449075</v>
      </c>
      <c r="AO3" s="50">
        <v>500</v>
      </c>
      <c r="AP3" s="50">
        <v>0</v>
      </c>
      <c r="AQ3" s="50">
        <v>0</v>
      </c>
      <c r="AR3" s="50">
        <v>0</v>
      </c>
      <c r="AT3" s="50">
        <v>19990</v>
      </c>
      <c r="AU3" s="50">
        <v>3500</v>
      </c>
      <c r="AV3" s="50">
        <v>82990</v>
      </c>
      <c r="AW3" s="50">
        <v>9990</v>
      </c>
      <c r="AX3" s="50">
        <v>3500</v>
      </c>
      <c r="AY3" s="50">
        <v>72990</v>
      </c>
      <c r="AZ3" s="50">
        <v>9990</v>
      </c>
      <c r="BA3" s="50">
        <v>3500</v>
      </c>
      <c r="BB3" s="50">
        <v>72990</v>
      </c>
      <c r="BC3" s="50">
        <v>40800</v>
      </c>
      <c r="BD3" s="50">
        <v>-0.31988664777462911</v>
      </c>
      <c r="BE3" s="50">
        <v>1700</v>
      </c>
      <c r="BF3" s="50">
        <v>40800</v>
      </c>
      <c r="BG3" s="50">
        <v>-0.31988664777462911</v>
      </c>
      <c r="BH3" s="50">
        <v>1700</v>
      </c>
      <c r="BI3" s="50">
        <v>40800</v>
      </c>
      <c r="BJ3" s="50">
        <v>-0.31988664777462911</v>
      </c>
      <c r="BK3" s="50">
        <v>3400</v>
      </c>
      <c r="BL3" s="50">
        <v>46800</v>
      </c>
      <c r="BM3" s="50">
        <v>-0.21986997832972163</v>
      </c>
      <c r="BN3" s="50">
        <v>46800</v>
      </c>
      <c r="BO3" s="50">
        <v>-0.21986997832972163</v>
      </c>
      <c r="BP3" s="50">
        <v>3900</v>
      </c>
      <c r="BQ3" s="50">
        <v>59990</v>
      </c>
      <c r="BR3" s="50" t="s">
        <v>984</v>
      </c>
      <c r="BS3" s="50" t="s">
        <v>985</v>
      </c>
    </row>
    <row r="4" spans="1:71" ht="15.75" customHeight="1" x14ac:dyDescent="0.2">
      <c r="A4" s="25" t="s">
        <v>402</v>
      </c>
      <c r="B4" s="26" t="s">
        <v>403</v>
      </c>
      <c r="C4" s="27" t="s">
        <v>401</v>
      </c>
      <c r="D4" s="50">
        <v>88800</v>
      </c>
      <c r="E4" s="30">
        <f>+(D4-$P4)/$P4</f>
        <v>-0.31687052850219249</v>
      </c>
      <c r="F4" s="50">
        <f t="shared" si="5"/>
        <v>3700</v>
      </c>
      <c r="G4" s="50">
        <v>88800</v>
      </c>
      <c r="H4" s="30">
        <f>+(G4-$P4)/$P4</f>
        <v>-0.31687052850219249</v>
      </c>
      <c r="I4" s="50">
        <f t="shared" si="6"/>
        <v>3700</v>
      </c>
      <c r="J4" s="50">
        <v>88800</v>
      </c>
      <c r="K4" s="30">
        <f>+(J4-$P4)/$P4</f>
        <v>-0.31687052850219249</v>
      </c>
      <c r="L4" s="50">
        <f t="shared" si="7"/>
        <v>7400</v>
      </c>
      <c r="M4" s="50">
        <v>100800</v>
      </c>
      <c r="N4" s="30">
        <f t="shared" si="8"/>
        <v>-0.2245557350565428</v>
      </c>
      <c r="O4" s="50">
        <f t="shared" si="9"/>
        <v>8400</v>
      </c>
      <c r="P4" s="50">
        <v>129990</v>
      </c>
      <c r="Q4" t="s">
        <v>755</v>
      </c>
      <c r="R4" t="e">
        <f>VLOOKUP(B4,#REF!,1,0)</f>
        <v>#REF!</v>
      </c>
      <c r="S4" s="50">
        <v>0</v>
      </c>
      <c r="T4" s="50">
        <v>0</v>
      </c>
      <c r="U4" s="50">
        <v>0</v>
      </c>
      <c r="V4" s="50">
        <v>0</v>
      </c>
      <c r="W4" s="50">
        <v>0</v>
      </c>
      <c r="X4" s="50">
        <v>0</v>
      </c>
      <c r="Y4" s="50">
        <v>0</v>
      </c>
      <c r="Z4" s="50">
        <v>0</v>
      </c>
      <c r="AA4" s="50">
        <v>0</v>
      </c>
      <c r="AB4" s="50">
        <v>0</v>
      </c>
      <c r="AC4" s="50">
        <v>0</v>
      </c>
      <c r="AD4" s="50">
        <v>0</v>
      </c>
      <c r="AE4" s="50">
        <v>0</v>
      </c>
      <c r="AF4" s="50">
        <v>0</v>
      </c>
      <c r="AG4" s="50">
        <v>0</v>
      </c>
      <c r="AH4" s="50">
        <v>0</v>
      </c>
      <c r="AI4" s="50">
        <v>0</v>
      </c>
      <c r="AJ4" s="50">
        <v>0</v>
      </c>
      <c r="AK4" s="50">
        <v>0</v>
      </c>
      <c r="AL4" s="50">
        <v>0</v>
      </c>
      <c r="AM4" s="50">
        <v>0</v>
      </c>
      <c r="AN4" s="50">
        <v>0</v>
      </c>
      <c r="AO4" s="50">
        <v>0</v>
      </c>
      <c r="AP4" s="50">
        <v>0</v>
      </c>
      <c r="AQ4" s="50">
        <v>0</v>
      </c>
      <c r="AR4" s="50">
        <v>0</v>
      </c>
      <c r="AT4" s="50">
        <v>19990</v>
      </c>
      <c r="AU4" s="50">
        <v>7600</v>
      </c>
      <c r="AV4" s="50">
        <v>156790</v>
      </c>
      <c r="AW4" s="50">
        <v>19990</v>
      </c>
      <c r="AX4" s="50">
        <v>7600</v>
      </c>
      <c r="AY4" s="50">
        <v>156790</v>
      </c>
      <c r="AZ4" s="50">
        <v>19990</v>
      </c>
      <c r="BA4" s="50">
        <v>7600</v>
      </c>
      <c r="BB4" s="50">
        <v>156790</v>
      </c>
      <c r="BC4" s="50">
        <v>88800</v>
      </c>
      <c r="BD4" s="50">
        <v>-0.31687052850219249</v>
      </c>
      <c r="BE4" s="50">
        <v>3700</v>
      </c>
      <c r="BF4" s="50">
        <v>88800</v>
      </c>
      <c r="BG4" s="50">
        <v>-0.31687052850219249</v>
      </c>
      <c r="BH4" s="50">
        <v>3700</v>
      </c>
      <c r="BI4" s="50">
        <v>88800</v>
      </c>
      <c r="BJ4" s="50">
        <v>-0.31687052850219249</v>
      </c>
      <c r="BK4" s="50">
        <v>7400</v>
      </c>
      <c r="BL4" s="50">
        <v>100800</v>
      </c>
      <c r="BM4" s="50">
        <v>-0.2245557350565428</v>
      </c>
      <c r="BN4" s="50">
        <v>100800</v>
      </c>
      <c r="BO4" s="50">
        <v>-0.2245557350565428</v>
      </c>
      <c r="BP4" s="50">
        <v>8400</v>
      </c>
      <c r="BQ4" s="50">
        <v>129990</v>
      </c>
      <c r="BR4" s="50" t="s">
        <v>986</v>
      </c>
      <c r="BS4" s="50" t="s">
        <v>987</v>
      </c>
    </row>
    <row r="5" spans="1:71" ht="15.75" customHeight="1" x14ac:dyDescent="0.2">
      <c r="A5" s="25" t="s">
        <v>404</v>
      </c>
      <c r="B5" s="26" t="s">
        <v>405</v>
      </c>
      <c r="C5" s="27" t="s">
        <v>401</v>
      </c>
      <c r="D5" s="50">
        <v>88800</v>
      </c>
      <c r="E5" s="30">
        <f>+(D5-$P5)/$P5</f>
        <v>-0.31687052850219249</v>
      </c>
      <c r="F5" s="50">
        <f t="shared" si="5"/>
        <v>3700</v>
      </c>
      <c r="G5" s="50">
        <v>88800</v>
      </c>
      <c r="H5" s="30">
        <f>+(G5-$P5)/$P5</f>
        <v>-0.31687052850219249</v>
      </c>
      <c r="I5" s="50">
        <f t="shared" si="6"/>
        <v>3700</v>
      </c>
      <c r="J5" s="50">
        <v>88800</v>
      </c>
      <c r="K5" s="30">
        <f>+(J5-$P5)/$P5</f>
        <v>-0.31687052850219249</v>
      </c>
      <c r="L5" s="50">
        <f t="shared" si="7"/>
        <v>7400</v>
      </c>
      <c r="M5" s="50">
        <v>100800</v>
      </c>
      <c r="N5" s="30">
        <f t="shared" si="8"/>
        <v>-0.2245557350565428</v>
      </c>
      <c r="O5" s="50">
        <f t="shared" si="9"/>
        <v>8400</v>
      </c>
      <c r="P5" s="50">
        <v>129990</v>
      </c>
      <c r="Q5" t="s">
        <v>755</v>
      </c>
      <c r="R5" t="e">
        <f>VLOOKUP(B5,#REF!,1,0)</f>
        <v>#REF!</v>
      </c>
      <c r="S5" s="50">
        <v>0</v>
      </c>
      <c r="T5" s="50">
        <v>0</v>
      </c>
      <c r="U5" s="50">
        <v>0</v>
      </c>
      <c r="V5" s="50">
        <v>0</v>
      </c>
      <c r="W5" s="50">
        <v>0</v>
      </c>
      <c r="X5" s="50">
        <v>0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v>0</v>
      </c>
      <c r="AH5" s="50">
        <v>0</v>
      </c>
      <c r="AI5" s="50">
        <v>0</v>
      </c>
      <c r="AJ5" s="50">
        <v>0</v>
      </c>
      <c r="AK5" s="50">
        <v>0</v>
      </c>
      <c r="AL5" s="50">
        <v>0</v>
      </c>
      <c r="AM5" s="50">
        <v>0</v>
      </c>
      <c r="AN5" s="50">
        <v>0</v>
      </c>
      <c r="AO5" s="50">
        <v>0</v>
      </c>
      <c r="AP5" s="50">
        <v>0</v>
      </c>
      <c r="AQ5" s="50">
        <v>0</v>
      </c>
      <c r="AR5" s="50">
        <v>0</v>
      </c>
      <c r="AT5" s="50">
        <v>19990</v>
      </c>
      <c r="AU5" s="50">
        <v>7600</v>
      </c>
      <c r="AV5" s="50">
        <v>156790</v>
      </c>
      <c r="AW5" s="50">
        <v>19990</v>
      </c>
      <c r="AX5" s="50">
        <v>7600</v>
      </c>
      <c r="AY5" s="50">
        <v>156790</v>
      </c>
      <c r="AZ5" s="50">
        <v>19990</v>
      </c>
      <c r="BA5" s="50">
        <v>7600</v>
      </c>
      <c r="BB5" s="50">
        <v>156790</v>
      </c>
      <c r="BC5" s="50">
        <v>88800</v>
      </c>
      <c r="BD5" s="50">
        <v>-0.31687052850219249</v>
      </c>
      <c r="BE5" s="50">
        <v>3700</v>
      </c>
      <c r="BF5" s="50">
        <v>88800</v>
      </c>
      <c r="BG5" s="50">
        <v>-0.31687052850219249</v>
      </c>
      <c r="BH5" s="50">
        <v>3700</v>
      </c>
      <c r="BI5" s="50">
        <v>88800</v>
      </c>
      <c r="BJ5" s="50">
        <v>-0.31687052850219249</v>
      </c>
      <c r="BK5" s="50">
        <v>7400</v>
      </c>
      <c r="BL5" s="50">
        <v>100800</v>
      </c>
      <c r="BM5" s="50">
        <v>-0.2245557350565428</v>
      </c>
      <c r="BN5" s="50">
        <v>100800</v>
      </c>
      <c r="BO5" s="50">
        <v>-0.2245557350565428</v>
      </c>
      <c r="BP5" s="50">
        <v>8400</v>
      </c>
      <c r="BQ5" s="50">
        <v>129990</v>
      </c>
      <c r="BR5" s="50" t="s">
        <v>986</v>
      </c>
      <c r="BS5" s="50" t="s">
        <v>987</v>
      </c>
    </row>
    <row r="6" spans="1:71" ht="15.75" customHeight="1" x14ac:dyDescent="0.2">
      <c r="A6" s="25" t="s">
        <v>406</v>
      </c>
      <c r="B6" s="26" t="s">
        <v>407</v>
      </c>
      <c r="C6" s="27" t="s">
        <v>401</v>
      </c>
      <c r="D6" s="50">
        <v>88800</v>
      </c>
      <c r="E6" s="30">
        <f>+(D6-$P6)/$P6</f>
        <v>-0.36566897635545398</v>
      </c>
      <c r="F6" s="50">
        <f t="shared" si="5"/>
        <v>3700</v>
      </c>
      <c r="G6" s="50">
        <v>88800</v>
      </c>
      <c r="H6" s="30">
        <f>+(G6-$P6)/$P6</f>
        <v>-0.36566897635545398</v>
      </c>
      <c r="I6" s="50">
        <f t="shared" si="6"/>
        <v>3700</v>
      </c>
      <c r="J6" s="50">
        <v>88800</v>
      </c>
      <c r="K6" s="30">
        <f>+(J6-$P6)/$P6</f>
        <v>-0.36566897635545398</v>
      </c>
      <c r="L6" s="50">
        <f t="shared" si="7"/>
        <v>7400</v>
      </c>
      <c r="M6" s="50">
        <v>100800</v>
      </c>
      <c r="N6" s="30">
        <f t="shared" si="8"/>
        <v>-0.27994856775483962</v>
      </c>
      <c r="O6" s="50">
        <f t="shared" si="9"/>
        <v>8400</v>
      </c>
      <c r="P6" s="50">
        <v>139990</v>
      </c>
      <c r="Q6" t="s">
        <v>812</v>
      </c>
      <c r="R6" t="e">
        <f>VLOOKUP(B6,#REF!,1,0)</f>
        <v>#REF!</v>
      </c>
      <c r="S6" s="50">
        <v>0</v>
      </c>
      <c r="T6" s="50">
        <v>0</v>
      </c>
      <c r="U6" s="50">
        <v>0</v>
      </c>
      <c r="V6" s="50">
        <v>0</v>
      </c>
      <c r="W6" s="50">
        <v>0</v>
      </c>
      <c r="X6" s="50">
        <v>0</v>
      </c>
      <c r="Y6" s="50">
        <v>0</v>
      </c>
      <c r="Z6" s="50">
        <v>0</v>
      </c>
      <c r="AA6" s="50">
        <v>0</v>
      </c>
      <c r="AB6" s="50">
        <v>0</v>
      </c>
      <c r="AC6" s="50">
        <v>0</v>
      </c>
      <c r="AD6" s="50">
        <v>0</v>
      </c>
      <c r="AE6" s="50">
        <v>0</v>
      </c>
      <c r="AF6" s="50">
        <v>0</v>
      </c>
      <c r="AG6" s="50">
        <v>0</v>
      </c>
      <c r="AH6" s="50">
        <v>0</v>
      </c>
      <c r="AI6" s="50">
        <v>0</v>
      </c>
      <c r="AJ6" s="50">
        <v>0</v>
      </c>
      <c r="AK6" s="50">
        <v>0</v>
      </c>
      <c r="AL6" s="50">
        <v>0</v>
      </c>
      <c r="AM6" s="50">
        <v>0</v>
      </c>
      <c r="AN6" s="50">
        <v>0</v>
      </c>
      <c r="AO6" s="50">
        <v>0</v>
      </c>
      <c r="AP6" s="50">
        <v>0</v>
      </c>
      <c r="AQ6" s="50">
        <v>0</v>
      </c>
      <c r="AR6" s="50">
        <v>0</v>
      </c>
      <c r="AT6" s="50">
        <v>19990</v>
      </c>
      <c r="AU6" s="50">
        <v>6800</v>
      </c>
      <c r="AV6" s="50">
        <v>142390</v>
      </c>
      <c r="AW6" s="50">
        <v>19990</v>
      </c>
      <c r="AX6" s="50">
        <v>6800</v>
      </c>
      <c r="AY6" s="50">
        <v>142390</v>
      </c>
      <c r="AZ6" s="50">
        <v>19990</v>
      </c>
      <c r="BA6" s="50">
        <v>6800</v>
      </c>
      <c r="BB6" s="50">
        <v>142390</v>
      </c>
      <c r="BC6" s="50">
        <v>88800</v>
      </c>
      <c r="BD6" s="50">
        <v>-0.36566897635545398</v>
      </c>
      <c r="BE6" s="50">
        <v>3700</v>
      </c>
      <c r="BF6" s="50">
        <v>88800</v>
      </c>
      <c r="BG6" s="50">
        <v>-0.36566897635545398</v>
      </c>
      <c r="BH6" s="50">
        <v>3700</v>
      </c>
      <c r="BI6" s="50">
        <v>88800</v>
      </c>
      <c r="BJ6" s="50">
        <v>-0.36566897635545398</v>
      </c>
      <c r="BK6" s="50">
        <v>7400</v>
      </c>
      <c r="BL6" s="50">
        <v>100800</v>
      </c>
      <c r="BM6" s="50">
        <v>-0.27994856775483962</v>
      </c>
      <c r="BN6" s="50">
        <v>100800</v>
      </c>
      <c r="BO6" s="50">
        <v>-0.27994856775483962</v>
      </c>
      <c r="BP6" s="50">
        <v>8400</v>
      </c>
      <c r="BQ6" s="50">
        <v>139990</v>
      </c>
      <c r="BR6" s="50" t="s">
        <v>986</v>
      </c>
      <c r="BS6" s="50" t="s">
        <v>987</v>
      </c>
    </row>
    <row r="7" spans="1:71" ht="15.75" customHeight="1" x14ac:dyDescent="0.2">
      <c r="A7" s="25" t="s">
        <v>408</v>
      </c>
      <c r="B7" s="26" t="s">
        <v>409</v>
      </c>
      <c r="C7" s="27" t="s">
        <v>401</v>
      </c>
      <c r="D7" s="50">
        <v>84000</v>
      </c>
      <c r="E7" s="30">
        <f>+(D7-$P7)/$P7</f>
        <v>-0.43996266417761182</v>
      </c>
      <c r="F7" s="50">
        <f t="shared" si="5"/>
        <v>3500</v>
      </c>
      <c r="G7" s="50">
        <v>84000</v>
      </c>
      <c r="H7" s="30">
        <f>+(G7-$P7)/$P7</f>
        <v>-0.43996266417761182</v>
      </c>
      <c r="I7" s="50">
        <f t="shared" si="6"/>
        <v>3500</v>
      </c>
      <c r="J7" s="50">
        <v>84000</v>
      </c>
      <c r="K7" s="30">
        <f>+(J7-$P7)/$P7</f>
        <v>-0.43996266417761182</v>
      </c>
      <c r="L7" s="50">
        <f t="shared" si="7"/>
        <v>7000</v>
      </c>
      <c r="M7" s="50">
        <v>96000</v>
      </c>
      <c r="N7" s="30">
        <f t="shared" si="8"/>
        <v>-0.35995733048869927</v>
      </c>
      <c r="O7" s="50">
        <f t="shared" si="9"/>
        <v>8000</v>
      </c>
      <c r="P7" s="50">
        <v>149990</v>
      </c>
      <c r="Q7" t="s">
        <v>756</v>
      </c>
      <c r="R7" t="e">
        <f>VLOOKUP(B7,#REF!,1,0)</f>
        <v>#REF!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T7" s="50">
        <v>29990</v>
      </c>
      <c r="AU7" s="50">
        <v>6400</v>
      </c>
      <c r="AV7" s="50">
        <v>145190</v>
      </c>
      <c r="AW7" s="50">
        <v>19990</v>
      </c>
      <c r="AX7" s="50">
        <v>6400</v>
      </c>
      <c r="AY7" s="50">
        <v>135190</v>
      </c>
      <c r="AZ7" s="50">
        <v>19990</v>
      </c>
      <c r="BA7" s="50">
        <v>6400</v>
      </c>
      <c r="BB7" s="50">
        <v>135190</v>
      </c>
      <c r="BC7" s="50">
        <v>84000</v>
      </c>
      <c r="BD7" s="50">
        <v>-0.43996266417761182</v>
      </c>
      <c r="BE7" s="50">
        <v>3500</v>
      </c>
      <c r="BF7" s="50">
        <v>84000</v>
      </c>
      <c r="BG7" s="50">
        <v>-0.43996266417761182</v>
      </c>
      <c r="BH7" s="50">
        <v>3500</v>
      </c>
      <c r="BI7" s="50">
        <v>84000</v>
      </c>
      <c r="BJ7" s="50">
        <v>-0.43996266417761182</v>
      </c>
      <c r="BK7" s="50">
        <v>7000</v>
      </c>
      <c r="BL7" s="50">
        <v>96000</v>
      </c>
      <c r="BM7" s="50">
        <v>-0.35995733048869927</v>
      </c>
      <c r="BN7" s="50">
        <v>96000</v>
      </c>
      <c r="BO7" s="50">
        <v>-0.35995733048869927</v>
      </c>
      <c r="BP7" s="50">
        <v>8000</v>
      </c>
      <c r="BQ7" s="50">
        <v>149990</v>
      </c>
      <c r="BR7" s="50" t="s">
        <v>986</v>
      </c>
      <c r="BS7" s="50" t="s">
        <v>987</v>
      </c>
    </row>
    <row r="8" spans="1:71" ht="15.75" customHeight="1" x14ac:dyDescent="0.2">
      <c r="A8" s="25" t="s">
        <v>410</v>
      </c>
      <c r="B8" s="26" t="s">
        <v>411</v>
      </c>
      <c r="C8" s="27" t="s">
        <v>401</v>
      </c>
      <c r="D8" s="50">
        <v>96000</v>
      </c>
      <c r="E8" s="30">
        <f>+(D8-$P8)/$P8</f>
        <v>-0.35995733048869927</v>
      </c>
      <c r="F8" s="50">
        <f t="shared" si="5"/>
        <v>4000</v>
      </c>
      <c r="G8" s="50">
        <v>96000</v>
      </c>
      <c r="H8" s="30">
        <f>+(G8-$P8)/$P8</f>
        <v>-0.35995733048869927</v>
      </c>
      <c r="I8" s="50">
        <f t="shared" si="6"/>
        <v>4000</v>
      </c>
      <c r="J8" s="50">
        <v>96000</v>
      </c>
      <c r="K8" s="30">
        <f>+(J8-$P8)/$P8</f>
        <v>-0.35995733048869927</v>
      </c>
      <c r="L8" s="50">
        <f t="shared" si="7"/>
        <v>8000</v>
      </c>
      <c r="M8" s="50">
        <v>108000</v>
      </c>
      <c r="N8" s="30">
        <f t="shared" si="8"/>
        <v>-0.27995199679978666</v>
      </c>
      <c r="O8" s="50">
        <f t="shared" si="9"/>
        <v>9000</v>
      </c>
      <c r="P8" s="50">
        <v>149990</v>
      </c>
      <c r="Q8" t="s">
        <v>757</v>
      </c>
      <c r="R8" t="e">
        <f>VLOOKUP(B8,#REF!,1,0)</f>
        <v>#REF!</v>
      </c>
      <c r="S8" s="50">
        <v>-10000</v>
      </c>
      <c r="T8" s="50">
        <v>600</v>
      </c>
      <c r="U8" s="50">
        <v>800</v>
      </c>
      <c r="V8" s="50">
        <v>-10000</v>
      </c>
      <c r="W8" s="50">
        <v>600</v>
      </c>
      <c r="X8" s="50">
        <v>800</v>
      </c>
      <c r="Y8" s="50">
        <v>-10000</v>
      </c>
      <c r="Z8" s="50">
        <v>600</v>
      </c>
      <c r="AA8" s="50">
        <v>800</v>
      </c>
      <c r="AB8" s="50">
        <v>-4800</v>
      </c>
      <c r="AC8" s="50">
        <v>-3.2002133475565075E-2</v>
      </c>
      <c r="AD8" s="50">
        <v>-200</v>
      </c>
      <c r="AE8" s="50">
        <v>-4800</v>
      </c>
      <c r="AF8" s="50">
        <v>-3.2002133475565075E-2</v>
      </c>
      <c r="AG8" s="50">
        <v>-200</v>
      </c>
      <c r="AH8" s="50">
        <v>-4800</v>
      </c>
      <c r="AI8" s="50">
        <v>-3.2002133475565075E-2</v>
      </c>
      <c r="AJ8" s="50">
        <v>-400</v>
      </c>
      <c r="AK8" s="50">
        <v>-4800</v>
      </c>
      <c r="AL8" s="50">
        <v>-3.2002133475565048E-2</v>
      </c>
      <c r="AM8" s="50">
        <v>-4800</v>
      </c>
      <c r="AN8" s="50">
        <v>-3.2002133475565048E-2</v>
      </c>
      <c r="AO8" s="50">
        <v>-400</v>
      </c>
      <c r="AP8" s="50">
        <v>0</v>
      </c>
      <c r="AQ8" s="50">
        <v>0</v>
      </c>
      <c r="AR8" s="50">
        <v>0</v>
      </c>
      <c r="AT8" s="50">
        <v>39990</v>
      </c>
      <c r="AU8" s="50">
        <v>7400</v>
      </c>
      <c r="AV8" s="50">
        <v>173190</v>
      </c>
      <c r="AW8" s="50">
        <v>39990</v>
      </c>
      <c r="AX8" s="50">
        <v>7400</v>
      </c>
      <c r="AY8" s="50">
        <v>173190</v>
      </c>
      <c r="AZ8" s="50">
        <v>39990</v>
      </c>
      <c r="BA8" s="50">
        <v>7400</v>
      </c>
      <c r="BB8" s="50">
        <v>173190</v>
      </c>
      <c r="BC8" s="50">
        <v>100800</v>
      </c>
      <c r="BD8" s="50">
        <v>-0.32795519701313419</v>
      </c>
      <c r="BE8" s="50">
        <v>4200</v>
      </c>
      <c r="BF8" s="50">
        <v>100800</v>
      </c>
      <c r="BG8" s="50">
        <v>-0.32795519701313419</v>
      </c>
      <c r="BH8" s="50">
        <v>4200</v>
      </c>
      <c r="BI8" s="50">
        <v>100800</v>
      </c>
      <c r="BJ8" s="50">
        <v>-0.32795519701313419</v>
      </c>
      <c r="BK8" s="50">
        <v>8400</v>
      </c>
      <c r="BL8" s="50">
        <v>112800</v>
      </c>
      <c r="BM8" s="50">
        <v>-0.24794986332422161</v>
      </c>
      <c r="BN8" s="50">
        <v>112800</v>
      </c>
      <c r="BO8" s="50">
        <v>-0.24794986332422161</v>
      </c>
      <c r="BP8" s="50">
        <v>9400</v>
      </c>
      <c r="BQ8" s="50">
        <v>149990</v>
      </c>
      <c r="BR8" s="50" t="s">
        <v>986</v>
      </c>
      <c r="BS8" s="50" t="s">
        <v>987</v>
      </c>
    </row>
    <row r="9" spans="1:71" ht="15.75" customHeight="1" x14ac:dyDescent="0.2">
      <c r="A9" s="25" t="s">
        <v>412</v>
      </c>
      <c r="B9" s="26" t="s">
        <v>413</v>
      </c>
      <c r="C9" s="27" t="s">
        <v>401</v>
      </c>
      <c r="D9" s="50">
        <v>108000</v>
      </c>
      <c r="E9" s="30">
        <f>+(D9-$P9)/$P9</f>
        <v>-0.32495780986311645</v>
      </c>
      <c r="F9" s="50">
        <f t="shared" si="5"/>
        <v>4500</v>
      </c>
      <c r="G9" s="50">
        <v>108000</v>
      </c>
      <c r="H9" s="30">
        <f>+(G9-$P9)/$P9</f>
        <v>-0.32495780986311645</v>
      </c>
      <c r="I9" s="50">
        <f t="shared" si="6"/>
        <v>4500</v>
      </c>
      <c r="J9" s="50">
        <v>108000</v>
      </c>
      <c r="K9" s="30">
        <f>+(J9-$P9)/$P9</f>
        <v>-0.32495780986311645</v>
      </c>
      <c r="L9" s="50">
        <f t="shared" si="7"/>
        <v>9000</v>
      </c>
      <c r="M9" s="50">
        <v>120000</v>
      </c>
      <c r="N9" s="30">
        <f t="shared" si="8"/>
        <v>-0.24995312207012937</v>
      </c>
      <c r="O9" s="50">
        <f t="shared" si="9"/>
        <v>10000</v>
      </c>
      <c r="P9" s="50">
        <v>159990</v>
      </c>
      <c r="Q9" t="s">
        <v>758</v>
      </c>
      <c r="R9" t="e">
        <f>VLOOKUP(B9,#REF!,1,0)</f>
        <v>#REF!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-7200</v>
      </c>
      <c r="AL9" s="50">
        <v>-4.5002812675792231E-2</v>
      </c>
      <c r="AM9" s="50">
        <v>-7200</v>
      </c>
      <c r="AN9" s="50">
        <v>-4.5002812675792231E-2</v>
      </c>
      <c r="AO9" s="50">
        <v>-600</v>
      </c>
      <c r="AP9" s="50">
        <v>0</v>
      </c>
      <c r="AQ9" s="50">
        <v>0</v>
      </c>
      <c r="AR9" s="50">
        <v>0</v>
      </c>
      <c r="AT9" s="50">
        <v>29990</v>
      </c>
      <c r="AU9" s="50">
        <v>8300</v>
      </c>
      <c r="AV9" s="50">
        <v>179390</v>
      </c>
      <c r="AW9" s="50">
        <v>29990</v>
      </c>
      <c r="AX9" s="50">
        <v>8300</v>
      </c>
      <c r="AY9" s="50">
        <v>179390</v>
      </c>
      <c r="AZ9" s="50">
        <v>29990</v>
      </c>
      <c r="BA9" s="50">
        <v>8300</v>
      </c>
      <c r="BB9" s="50">
        <v>179390</v>
      </c>
      <c r="BC9" s="50">
        <v>108000</v>
      </c>
      <c r="BD9" s="50">
        <v>-0.32495780986311645</v>
      </c>
      <c r="BE9" s="50">
        <v>4500</v>
      </c>
      <c r="BF9" s="50">
        <v>108000</v>
      </c>
      <c r="BG9" s="50">
        <v>-0.32495780986311645</v>
      </c>
      <c r="BH9" s="50">
        <v>4500</v>
      </c>
      <c r="BI9" s="50">
        <v>108000</v>
      </c>
      <c r="BJ9" s="50">
        <v>-0.32495780986311645</v>
      </c>
      <c r="BK9" s="50">
        <v>9000</v>
      </c>
      <c r="BL9" s="50">
        <v>127200</v>
      </c>
      <c r="BM9" s="50">
        <v>-0.20495030939433714</v>
      </c>
      <c r="BN9" s="50">
        <v>127200</v>
      </c>
      <c r="BO9" s="50">
        <v>-0.20495030939433714</v>
      </c>
      <c r="BP9" s="50">
        <v>10600</v>
      </c>
      <c r="BQ9" s="50">
        <v>159990</v>
      </c>
      <c r="BR9" s="50" t="s">
        <v>986</v>
      </c>
      <c r="BS9" s="50" t="s">
        <v>987</v>
      </c>
    </row>
    <row r="10" spans="1:71" ht="15.75" customHeight="1" x14ac:dyDescent="0.2">
      <c r="A10" s="25" t="s">
        <v>414</v>
      </c>
      <c r="B10" s="26" t="s">
        <v>415</v>
      </c>
      <c r="C10" s="27" t="s">
        <v>401</v>
      </c>
      <c r="D10" s="50">
        <v>108000</v>
      </c>
      <c r="E10" s="30">
        <f>+(D10-$P10)/$P10</f>
        <v>-0.32495780986311645</v>
      </c>
      <c r="F10" s="50">
        <f t="shared" si="5"/>
        <v>4500</v>
      </c>
      <c r="G10" s="50">
        <v>108000</v>
      </c>
      <c r="H10" s="30">
        <f>+(G10-$P10)/$P10</f>
        <v>-0.32495780986311645</v>
      </c>
      <c r="I10" s="50">
        <f t="shared" si="6"/>
        <v>4500</v>
      </c>
      <c r="J10" s="50">
        <v>108000</v>
      </c>
      <c r="K10" s="30">
        <f>+(J10-$P10)/$P10</f>
        <v>-0.32495780986311645</v>
      </c>
      <c r="L10" s="50">
        <f t="shared" si="7"/>
        <v>9000</v>
      </c>
      <c r="M10" s="50">
        <v>120000</v>
      </c>
      <c r="N10" s="30">
        <f t="shared" si="8"/>
        <v>-0.24995312207012937</v>
      </c>
      <c r="O10" s="50">
        <f t="shared" si="9"/>
        <v>10000</v>
      </c>
      <c r="P10" s="50">
        <v>159990</v>
      </c>
      <c r="Q10" t="s">
        <v>758</v>
      </c>
      <c r="R10" t="e">
        <f>VLOOKUP(B10,#REF!,1,0)</f>
        <v>#REF!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-7200</v>
      </c>
      <c r="AL10" s="50">
        <v>-4.5002812675792231E-2</v>
      </c>
      <c r="AM10" s="50">
        <v>-7200</v>
      </c>
      <c r="AN10" s="50">
        <v>-4.5002812675792231E-2</v>
      </c>
      <c r="AO10" s="50">
        <v>-600</v>
      </c>
      <c r="AP10" s="50">
        <v>0</v>
      </c>
      <c r="AQ10" s="50">
        <v>0</v>
      </c>
      <c r="AR10" s="50">
        <v>0</v>
      </c>
      <c r="AT10" s="50">
        <v>29990</v>
      </c>
      <c r="AU10" s="50">
        <v>8300</v>
      </c>
      <c r="AV10" s="50">
        <v>179390</v>
      </c>
      <c r="AW10" s="50">
        <v>29990</v>
      </c>
      <c r="AX10" s="50">
        <v>8300</v>
      </c>
      <c r="AY10" s="50">
        <v>179390</v>
      </c>
      <c r="AZ10" s="50">
        <v>29990</v>
      </c>
      <c r="BA10" s="50">
        <v>8300</v>
      </c>
      <c r="BB10" s="50">
        <v>179390</v>
      </c>
      <c r="BC10" s="50">
        <v>108000</v>
      </c>
      <c r="BD10" s="50">
        <v>-0.32495780986311645</v>
      </c>
      <c r="BE10" s="50">
        <v>4500</v>
      </c>
      <c r="BF10" s="50">
        <v>108000</v>
      </c>
      <c r="BG10" s="50">
        <v>-0.32495780986311645</v>
      </c>
      <c r="BH10" s="50">
        <v>4500</v>
      </c>
      <c r="BI10" s="50">
        <v>108000</v>
      </c>
      <c r="BJ10" s="50">
        <v>-0.32495780986311645</v>
      </c>
      <c r="BK10" s="50">
        <v>9000</v>
      </c>
      <c r="BL10" s="50">
        <v>127200</v>
      </c>
      <c r="BM10" s="50">
        <v>-0.20495030939433714</v>
      </c>
      <c r="BN10" s="50">
        <v>127200</v>
      </c>
      <c r="BO10" s="50">
        <v>-0.20495030939433714</v>
      </c>
      <c r="BP10" s="50">
        <v>10600</v>
      </c>
      <c r="BQ10" s="50">
        <v>159990</v>
      </c>
      <c r="BR10" s="50" t="s">
        <v>986</v>
      </c>
      <c r="BS10" s="50" t="s">
        <v>987</v>
      </c>
    </row>
    <row r="11" spans="1:71" ht="15.75" customHeight="1" x14ac:dyDescent="0.2">
      <c r="A11" s="25" t="s">
        <v>416</v>
      </c>
      <c r="B11" s="26" t="s">
        <v>417</v>
      </c>
      <c r="C11" s="27" t="s">
        <v>401</v>
      </c>
      <c r="D11" s="50">
        <v>79200</v>
      </c>
      <c r="E11" s="30">
        <f>+(D11-$P11)/$P11</f>
        <v>-0.55997555419745537</v>
      </c>
      <c r="F11" s="50">
        <f t="shared" si="5"/>
        <v>3300</v>
      </c>
      <c r="G11" s="50">
        <v>79200</v>
      </c>
      <c r="H11" s="30">
        <f>+(G11-$P11)/$P11</f>
        <v>-0.55997555419745537</v>
      </c>
      <c r="I11" s="50">
        <f t="shared" si="6"/>
        <v>3300</v>
      </c>
      <c r="J11" s="50">
        <v>79200</v>
      </c>
      <c r="K11" s="30">
        <f>+(J11-$P11)/$P11</f>
        <v>-0.55997555419745537</v>
      </c>
      <c r="L11" s="50">
        <f t="shared" si="7"/>
        <v>6600</v>
      </c>
      <c r="M11" s="50">
        <v>91200</v>
      </c>
      <c r="N11" s="30">
        <f t="shared" si="8"/>
        <v>-0.49330518362131232</v>
      </c>
      <c r="O11" s="50">
        <f t="shared" si="9"/>
        <v>7600</v>
      </c>
      <c r="P11" s="50">
        <v>179990</v>
      </c>
      <c r="Q11" t="s">
        <v>759</v>
      </c>
      <c r="R11" t="e">
        <f>VLOOKUP(B11,#REF!,1,0)</f>
        <v>#REF!</v>
      </c>
      <c r="S11" s="50">
        <v>-20000</v>
      </c>
      <c r="T11" s="50">
        <v>2100</v>
      </c>
      <c r="U11" s="50">
        <v>17800</v>
      </c>
      <c r="V11" s="50">
        <v>-20000</v>
      </c>
      <c r="W11" s="50">
        <v>2100</v>
      </c>
      <c r="X11" s="50">
        <v>17800</v>
      </c>
      <c r="Y11" s="50">
        <v>-20000</v>
      </c>
      <c r="Z11" s="50">
        <v>2100</v>
      </c>
      <c r="AA11" s="50">
        <v>17800</v>
      </c>
      <c r="AB11" s="50">
        <v>-21600</v>
      </c>
      <c r="AC11" s="50">
        <v>-0.12000666703705759</v>
      </c>
      <c r="AD11" s="50">
        <v>-900</v>
      </c>
      <c r="AE11" s="50">
        <v>-21600</v>
      </c>
      <c r="AF11" s="50">
        <v>-0.12000666703705759</v>
      </c>
      <c r="AG11" s="50">
        <v>-900</v>
      </c>
      <c r="AH11" s="50">
        <v>-21600</v>
      </c>
      <c r="AI11" s="50">
        <v>-0.12000666703705759</v>
      </c>
      <c r="AJ11" s="50">
        <v>-1800</v>
      </c>
      <c r="AK11" s="50">
        <v>-16800</v>
      </c>
      <c r="AL11" s="50">
        <v>-9.3338518806600379E-2</v>
      </c>
      <c r="AM11" s="50">
        <v>-16800</v>
      </c>
      <c r="AN11" s="50">
        <v>-9.3338518806600379E-2</v>
      </c>
      <c r="AO11" s="50">
        <v>-1400</v>
      </c>
      <c r="AP11" s="50">
        <v>0</v>
      </c>
      <c r="AQ11" s="50">
        <v>0</v>
      </c>
      <c r="AR11" s="50">
        <v>0</v>
      </c>
      <c r="AT11" s="50">
        <v>49990</v>
      </c>
      <c r="AU11" s="50">
        <v>6500</v>
      </c>
      <c r="AV11" s="50">
        <v>166990</v>
      </c>
      <c r="AW11" s="50">
        <v>49990</v>
      </c>
      <c r="AX11" s="50">
        <v>6500</v>
      </c>
      <c r="AY11" s="50">
        <v>166990</v>
      </c>
      <c r="AZ11" s="50">
        <v>49990</v>
      </c>
      <c r="BA11" s="50">
        <v>6500</v>
      </c>
      <c r="BB11" s="50">
        <v>166990</v>
      </c>
      <c r="BC11" s="50">
        <v>100800</v>
      </c>
      <c r="BD11" s="50">
        <v>-0.43996888716039778</v>
      </c>
      <c r="BE11" s="50">
        <v>4200</v>
      </c>
      <c r="BF11" s="50">
        <v>100800</v>
      </c>
      <c r="BG11" s="50">
        <v>-0.43996888716039778</v>
      </c>
      <c r="BH11" s="50">
        <v>4200</v>
      </c>
      <c r="BI11" s="50">
        <v>100800</v>
      </c>
      <c r="BJ11" s="50">
        <v>-0.43996888716039778</v>
      </c>
      <c r="BK11" s="50">
        <v>8400</v>
      </c>
      <c r="BL11" s="50">
        <v>108000</v>
      </c>
      <c r="BM11" s="50">
        <v>-0.39996666481471194</v>
      </c>
      <c r="BN11" s="50">
        <v>108000</v>
      </c>
      <c r="BO11" s="50">
        <v>-0.39996666481471194</v>
      </c>
      <c r="BP11" s="50">
        <v>9000</v>
      </c>
      <c r="BQ11" s="50">
        <v>179990</v>
      </c>
      <c r="BR11" s="50" t="s">
        <v>987</v>
      </c>
      <c r="BS11" s="50" t="s">
        <v>988</v>
      </c>
    </row>
    <row r="12" spans="1:71" ht="15.75" customHeight="1" x14ac:dyDescent="0.2">
      <c r="A12" s="25" t="s">
        <v>418</v>
      </c>
      <c r="B12" s="26" t="s">
        <v>419</v>
      </c>
      <c r="C12" s="27" t="s">
        <v>401</v>
      </c>
      <c r="D12" s="50">
        <v>79200</v>
      </c>
      <c r="E12" s="30">
        <f>+(D12-$P12)/$P12</f>
        <v>-0.55997555419745537</v>
      </c>
      <c r="F12" s="50">
        <f t="shared" si="5"/>
        <v>3300</v>
      </c>
      <c r="G12" s="50">
        <v>79200</v>
      </c>
      <c r="H12" s="30">
        <f>+(G12-$P12)/$P12</f>
        <v>-0.55997555419745537</v>
      </c>
      <c r="I12" s="50">
        <f t="shared" si="6"/>
        <v>3300</v>
      </c>
      <c r="J12" s="50">
        <v>79200</v>
      </c>
      <c r="K12" s="30">
        <f>+(J12-$P12)/$P12</f>
        <v>-0.55997555419745537</v>
      </c>
      <c r="L12" s="50">
        <f t="shared" si="7"/>
        <v>6600</v>
      </c>
      <c r="M12" s="50">
        <v>91200</v>
      </c>
      <c r="N12" s="30">
        <f t="shared" si="8"/>
        <v>-0.49330518362131232</v>
      </c>
      <c r="O12" s="50">
        <f t="shared" si="9"/>
        <v>7600</v>
      </c>
      <c r="P12" s="50">
        <v>179990</v>
      </c>
      <c r="Q12" t="s">
        <v>759</v>
      </c>
      <c r="R12" t="e">
        <f>VLOOKUP(B12,#REF!,1,0)</f>
        <v>#REF!</v>
      </c>
      <c r="S12" s="50">
        <v>-20000</v>
      </c>
      <c r="T12" s="50">
        <v>2100</v>
      </c>
      <c r="U12" s="50">
        <v>17800</v>
      </c>
      <c r="V12" s="50">
        <v>-20000</v>
      </c>
      <c r="W12" s="50">
        <v>2100</v>
      </c>
      <c r="X12" s="50">
        <v>17800</v>
      </c>
      <c r="Y12" s="50">
        <v>-20000</v>
      </c>
      <c r="Z12" s="50">
        <v>2100</v>
      </c>
      <c r="AA12" s="50">
        <v>17800</v>
      </c>
      <c r="AB12" s="50">
        <v>-21600</v>
      </c>
      <c r="AC12" s="50">
        <v>-0.12000666703705759</v>
      </c>
      <c r="AD12" s="50">
        <v>-900</v>
      </c>
      <c r="AE12" s="50">
        <v>-21600</v>
      </c>
      <c r="AF12" s="50">
        <v>-0.12000666703705759</v>
      </c>
      <c r="AG12" s="50">
        <v>-900</v>
      </c>
      <c r="AH12" s="50">
        <v>-21600</v>
      </c>
      <c r="AI12" s="50">
        <v>-0.12000666703705759</v>
      </c>
      <c r="AJ12" s="50">
        <v>-1800</v>
      </c>
      <c r="AK12" s="50">
        <v>-16800</v>
      </c>
      <c r="AL12" s="50">
        <v>-9.3338518806600379E-2</v>
      </c>
      <c r="AM12" s="50">
        <v>-16800</v>
      </c>
      <c r="AN12" s="50">
        <v>-9.3338518806600379E-2</v>
      </c>
      <c r="AO12" s="50">
        <v>-1400</v>
      </c>
      <c r="AP12" s="50">
        <v>0</v>
      </c>
      <c r="AQ12" s="50">
        <v>0</v>
      </c>
      <c r="AR12" s="50">
        <v>0</v>
      </c>
      <c r="AT12" s="50">
        <v>49990</v>
      </c>
      <c r="AU12" s="50">
        <v>6500</v>
      </c>
      <c r="AV12" s="50">
        <v>166990</v>
      </c>
      <c r="AW12" s="50">
        <v>49990</v>
      </c>
      <c r="AX12" s="50">
        <v>6500</v>
      </c>
      <c r="AY12" s="50">
        <v>166990</v>
      </c>
      <c r="AZ12" s="50">
        <v>49990</v>
      </c>
      <c r="BA12" s="50">
        <v>6500</v>
      </c>
      <c r="BB12" s="50">
        <v>166990</v>
      </c>
      <c r="BC12" s="50">
        <v>100800</v>
      </c>
      <c r="BD12" s="50">
        <v>-0.43996888716039778</v>
      </c>
      <c r="BE12" s="50">
        <v>4200</v>
      </c>
      <c r="BF12" s="50">
        <v>100800</v>
      </c>
      <c r="BG12" s="50">
        <v>-0.43996888716039778</v>
      </c>
      <c r="BH12" s="50">
        <v>4200</v>
      </c>
      <c r="BI12" s="50">
        <v>100800</v>
      </c>
      <c r="BJ12" s="50">
        <v>-0.43996888716039778</v>
      </c>
      <c r="BK12" s="50">
        <v>8400</v>
      </c>
      <c r="BL12" s="50">
        <v>108000</v>
      </c>
      <c r="BM12" s="50">
        <v>-0.39996666481471194</v>
      </c>
      <c r="BN12" s="50">
        <v>108000</v>
      </c>
      <c r="BO12" s="50">
        <v>-0.39996666481471194</v>
      </c>
      <c r="BP12" s="50">
        <v>9000</v>
      </c>
      <c r="BQ12" s="50">
        <v>179990</v>
      </c>
      <c r="BR12" s="50" t="s">
        <v>987</v>
      </c>
      <c r="BS12" s="50" t="s">
        <v>988</v>
      </c>
    </row>
    <row r="13" spans="1:71" ht="15.75" customHeight="1" x14ac:dyDescent="0.2">
      <c r="A13" s="25" t="s">
        <v>420</v>
      </c>
      <c r="B13" s="26" t="s">
        <v>421</v>
      </c>
      <c r="C13" s="27" t="s">
        <v>401</v>
      </c>
      <c r="D13" s="50">
        <v>72000</v>
      </c>
      <c r="E13" s="30">
        <f>+(D13-$P13)/$P13</f>
        <v>-0.59997777654314133</v>
      </c>
      <c r="F13" s="50">
        <f t="shared" si="5"/>
        <v>3000</v>
      </c>
      <c r="G13" s="50">
        <v>72000</v>
      </c>
      <c r="H13" s="30">
        <f>+(G13-$P13)/$P13</f>
        <v>-0.59997777654314133</v>
      </c>
      <c r="I13" s="50">
        <f t="shared" si="6"/>
        <v>3000</v>
      </c>
      <c r="J13" s="50">
        <v>72000</v>
      </c>
      <c r="K13" s="30">
        <f>+(J13-$P13)/$P13</f>
        <v>-0.59997777654314133</v>
      </c>
      <c r="L13" s="50">
        <f t="shared" si="7"/>
        <v>6000</v>
      </c>
      <c r="M13" s="50">
        <v>84000</v>
      </c>
      <c r="N13" s="30">
        <f t="shared" si="8"/>
        <v>-0.53330740596699822</v>
      </c>
      <c r="O13" s="50">
        <f t="shared" si="9"/>
        <v>7000</v>
      </c>
      <c r="P13" s="50">
        <v>179990</v>
      </c>
      <c r="Q13" t="s">
        <v>760</v>
      </c>
      <c r="R13" t="e">
        <f>VLOOKUP(B13,#REF!,1,0)</f>
        <v>#REF!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T13" s="50">
        <v>19990</v>
      </c>
      <c r="AU13" s="50">
        <v>6300</v>
      </c>
      <c r="AV13" s="50">
        <v>133390</v>
      </c>
      <c r="AW13" s="50">
        <v>19990</v>
      </c>
      <c r="AX13" s="50">
        <v>6300</v>
      </c>
      <c r="AY13" s="50">
        <v>133390</v>
      </c>
      <c r="AZ13" s="50">
        <v>19990</v>
      </c>
      <c r="BA13" s="50">
        <v>6300</v>
      </c>
      <c r="BB13" s="50">
        <v>133390</v>
      </c>
      <c r="BC13" s="50">
        <v>72000</v>
      </c>
      <c r="BD13" s="50">
        <v>-0.59997777654314133</v>
      </c>
      <c r="BE13" s="50">
        <v>3000</v>
      </c>
      <c r="BF13" s="50">
        <v>72000</v>
      </c>
      <c r="BG13" s="50">
        <v>-0.59997777654314133</v>
      </c>
      <c r="BH13" s="50">
        <v>3000</v>
      </c>
      <c r="BI13" s="50">
        <v>72000</v>
      </c>
      <c r="BJ13" s="50">
        <v>-0.59997777654314133</v>
      </c>
      <c r="BK13" s="50">
        <v>6000</v>
      </c>
      <c r="BL13" s="50">
        <v>84000</v>
      </c>
      <c r="BM13" s="50">
        <v>-0.53330740596699822</v>
      </c>
      <c r="BN13" s="50">
        <v>84000</v>
      </c>
      <c r="BO13" s="50">
        <v>-0.53330740596699822</v>
      </c>
      <c r="BP13" s="50">
        <v>7000</v>
      </c>
      <c r="BQ13" s="50">
        <v>179990</v>
      </c>
      <c r="BR13" s="50" t="s">
        <v>987</v>
      </c>
      <c r="BS13" s="50" t="s">
        <v>988</v>
      </c>
    </row>
    <row r="14" spans="1:71" ht="15.75" customHeight="1" x14ac:dyDescent="0.2">
      <c r="A14" s="25" t="s">
        <v>422</v>
      </c>
      <c r="B14" s="26" t="s">
        <v>423</v>
      </c>
      <c r="C14" s="27" t="s">
        <v>401</v>
      </c>
      <c r="D14" s="50">
        <v>72000</v>
      </c>
      <c r="E14" s="30">
        <f>+(D14-$P14)/$P14</f>
        <v>-0.59997777654314133</v>
      </c>
      <c r="F14" s="50">
        <f t="shared" si="5"/>
        <v>3000</v>
      </c>
      <c r="G14" s="50">
        <v>72000</v>
      </c>
      <c r="H14" s="30">
        <f>+(G14-$P14)/$P14</f>
        <v>-0.59997777654314133</v>
      </c>
      <c r="I14" s="50">
        <f t="shared" si="6"/>
        <v>3000</v>
      </c>
      <c r="J14" s="50">
        <v>72000</v>
      </c>
      <c r="K14" s="30">
        <f>+(J14-$P14)/$P14</f>
        <v>-0.59997777654314133</v>
      </c>
      <c r="L14" s="50">
        <f t="shared" si="7"/>
        <v>6000</v>
      </c>
      <c r="M14" s="50">
        <v>84000</v>
      </c>
      <c r="N14" s="30">
        <f t="shared" si="8"/>
        <v>-0.53330740596699822</v>
      </c>
      <c r="O14" s="50">
        <f t="shared" si="9"/>
        <v>7000</v>
      </c>
      <c r="P14" s="50">
        <v>179990</v>
      </c>
      <c r="Q14" t="s">
        <v>760</v>
      </c>
      <c r="R14" t="e">
        <f>VLOOKUP(B14,#REF!,1,0)</f>
        <v>#REF!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T14" s="50">
        <v>19990</v>
      </c>
      <c r="AU14" s="50">
        <v>6300</v>
      </c>
      <c r="AV14" s="50">
        <v>133390</v>
      </c>
      <c r="AW14" s="50">
        <v>19990</v>
      </c>
      <c r="AX14" s="50">
        <v>6300</v>
      </c>
      <c r="AY14" s="50">
        <v>133390</v>
      </c>
      <c r="AZ14" s="50">
        <v>19990</v>
      </c>
      <c r="BA14" s="50">
        <v>6300</v>
      </c>
      <c r="BB14" s="50">
        <v>133390</v>
      </c>
      <c r="BC14" s="50">
        <v>72000</v>
      </c>
      <c r="BD14" s="50">
        <v>-0.59997777654314133</v>
      </c>
      <c r="BE14" s="50">
        <v>3000</v>
      </c>
      <c r="BF14" s="50">
        <v>72000</v>
      </c>
      <c r="BG14" s="50">
        <v>-0.59997777654314133</v>
      </c>
      <c r="BH14" s="50">
        <v>3000</v>
      </c>
      <c r="BI14" s="50">
        <v>72000</v>
      </c>
      <c r="BJ14" s="50">
        <v>-0.59997777654314133</v>
      </c>
      <c r="BK14" s="50">
        <v>6000</v>
      </c>
      <c r="BL14" s="50">
        <v>84000</v>
      </c>
      <c r="BM14" s="50">
        <v>-0.53330740596699822</v>
      </c>
      <c r="BN14" s="50">
        <v>84000</v>
      </c>
      <c r="BO14" s="50">
        <v>-0.53330740596699822</v>
      </c>
      <c r="BP14" s="50">
        <v>7000</v>
      </c>
      <c r="BQ14" s="50">
        <v>179990</v>
      </c>
      <c r="BR14" s="50" t="s">
        <v>987</v>
      </c>
      <c r="BS14" s="50" t="s">
        <v>988</v>
      </c>
    </row>
    <row r="15" spans="1:71" ht="15.75" customHeight="1" x14ac:dyDescent="0.2">
      <c r="A15" s="25" t="s">
        <v>424</v>
      </c>
      <c r="B15" s="26" t="s">
        <v>425</v>
      </c>
      <c r="C15" s="27" t="s">
        <v>44</v>
      </c>
      <c r="D15" s="50">
        <v>120000</v>
      </c>
      <c r="E15" s="30">
        <f>+(D15-$P15)/$P15</f>
        <v>-0.39996999849992498</v>
      </c>
      <c r="F15" s="50">
        <f t="shared" si="5"/>
        <v>5000</v>
      </c>
      <c r="G15" s="50">
        <v>120000</v>
      </c>
      <c r="H15" s="30">
        <f>+(G15-$P15)/$P15</f>
        <v>-0.39996999849992498</v>
      </c>
      <c r="I15" s="50">
        <f t="shared" si="6"/>
        <v>5000</v>
      </c>
      <c r="J15" s="50">
        <v>120000</v>
      </c>
      <c r="K15" s="30">
        <f>+(J15-$P15)/$P15</f>
        <v>-0.39996999849992498</v>
      </c>
      <c r="L15" s="50">
        <f t="shared" si="7"/>
        <v>10000</v>
      </c>
      <c r="M15" s="50">
        <v>139200</v>
      </c>
      <c r="N15" s="30">
        <f t="shared" si="8"/>
        <v>-0.30396519825991297</v>
      </c>
      <c r="O15" s="50">
        <f t="shared" si="9"/>
        <v>11600</v>
      </c>
      <c r="P15" s="50">
        <v>199990</v>
      </c>
      <c r="Q15" t="s">
        <v>761</v>
      </c>
      <c r="R15" t="e">
        <f>VLOOKUP(B15,#REF!,1,0)</f>
        <v>#REF!</v>
      </c>
      <c r="S15" s="50">
        <v>-20000</v>
      </c>
      <c r="T15" s="50">
        <v>2300</v>
      </c>
      <c r="U15" s="50">
        <v>21400</v>
      </c>
      <c r="V15" s="50">
        <v>-20000</v>
      </c>
      <c r="W15" s="50">
        <v>2300</v>
      </c>
      <c r="X15" s="50">
        <v>21400</v>
      </c>
      <c r="Y15" s="50">
        <v>-20000</v>
      </c>
      <c r="Z15" s="50">
        <v>2300</v>
      </c>
      <c r="AA15" s="50">
        <v>21400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T15" s="50">
        <v>49990</v>
      </c>
      <c r="AU15" s="50">
        <v>8000</v>
      </c>
      <c r="AV15" s="50">
        <v>193990</v>
      </c>
      <c r="AW15" s="50">
        <v>49990</v>
      </c>
      <c r="AX15" s="50">
        <v>8000</v>
      </c>
      <c r="AY15" s="50">
        <v>193990</v>
      </c>
      <c r="AZ15" s="50">
        <v>49990</v>
      </c>
      <c r="BA15" s="50">
        <v>8000</v>
      </c>
      <c r="BB15" s="50">
        <v>193990</v>
      </c>
      <c r="BC15" s="50">
        <v>120000</v>
      </c>
      <c r="BD15" s="50">
        <v>-0.39996999849992498</v>
      </c>
      <c r="BE15" s="50">
        <v>5000</v>
      </c>
      <c r="BF15" s="50">
        <v>120000</v>
      </c>
      <c r="BG15" s="50">
        <v>-0.39996999849992498</v>
      </c>
      <c r="BH15" s="50">
        <v>5000</v>
      </c>
      <c r="BI15" s="50">
        <v>120000</v>
      </c>
      <c r="BJ15" s="50">
        <v>-0.39996999849992498</v>
      </c>
      <c r="BK15" s="50">
        <v>10000</v>
      </c>
      <c r="BL15" s="50">
        <v>139200</v>
      </c>
      <c r="BM15" s="50">
        <v>-0.30396519825991297</v>
      </c>
      <c r="BN15" s="50">
        <v>139200</v>
      </c>
      <c r="BO15" s="50">
        <v>-0.30396519825991297</v>
      </c>
      <c r="BP15" s="50">
        <v>11600</v>
      </c>
      <c r="BQ15" s="50">
        <v>199990</v>
      </c>
      <c r="BR15" s="50" t="s">
        <v>987</v>
      </c>
      <c r="BS15" s="50" t="s">
        <v>988</v>
      </c>
    </row>
    <row r="16" spans="1:71" ht="15.75" customHeight="1" x14ac:dyDescent="0.2">
      <c r="A16" s="25" t="s">
        <v>426</v>
      </c>
      <c r="B16" s="26" t="s">
        <v>427</v>
      </c>
      <c r="C16" s="27" t="s">
        <v>44</v>
      </c>
      <c r="D16" s="50">
        <v>120000</v>
      </c>
      <c r="E16" s="30">
        <f>+(D16-$P16)/$P16</f>
        <v>-0.39996999849992498</v>
      </c>
      <c r="F16" s="50">
        <f t="shared" si="5"/>
        <v>5000</v>
      </c>
      <c r="G16" s="50">
        <v>120000</v>
      </c>
      <c r="H16" s="30">
        <f>+(G16-$P16)/$P16</f>
        <v>-0.39996999849992498</v>
      </c>
      <c r="I16" s="50">
        <f t="shared" si="6"/>
        <v>5000</v>
      </c>
      <c r="J16" s="50">
        <v>120000</v>
      </c>
      <c r="K16" s="30">
        <f>+(J16-$P16)/$P16</f>
        <v>-0.39996999849992498</v>
      </c>
      <c r="L16" s="50">
        <f t="shared" si="7"/>
        <v>10000</v>
      </c>
      <c r="M16" s="50">
        <v>139200</v>
      </c>
      <c r="N16" s="30">
        <f t="shared" si="8"/>
        <v>-0.30396519825991297</v>
      </c>
      <c r="O16" s="50">
        <f t="shared" si="9"/>
        <v>11600</v>
      </c>
      <c r="P16" s="50">
        <v>199990</v>
      </c>
      <c r="Q16" t="s">
        <v>761</v>
      </c>
      <c r="R16" t="e">
        <f>VLOOKUP(B16,#REF!,1,0)</f>
        <v>#REF!</v>
      </c>
      <c r="S16" s="50">
        <v>-20000</v>
      </c>
      <c r="T16" s="50">
        <v>2300</v>
      </c>
      <c r="U16" s="50">
        <v>21400</v>
      </c>
      <c r="V16" s="50">
        <v>-20000</v>
      </c>
      <c r="W16" s="50">
        <v>2300</v>
      </c>
      <c r="X16" s="50">
        <v>21400</v>
      </c>
      <c r="Y16" s="50">
        <v>-20000</v>
      </c>
      <c r="Z16" s="50">
        <v>2300</v>
      </c>
      <c r="AA16" s="50">
        <v>21400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T16" s="50">
        <v>49990</v>
      </c>
      <c r="AU16" s="50">
        <v>8000</v>
      </c>
      <c r="AV16" s="50">
        <v>193990</v>
      </c>
      <c r="AW16" s="50">
        <v>49990</v>
      </c>
      <c r="AX16" s="50">
        <v>8000</v>
      </c>
      <c r="AY16" s="50">
        <v>193990</v>
      </c>
      <c r="AZ16" s="50">
        <v>49990</v>
      </c>
      <c r="BA16" s="50">
        <v>8000</v>
      </c>
      <c r="BB16" s="50">
        <v>193990</v>
      </c>
      <c r="BC16" s="50">
        <v>120000</v>
      </c>
      <c r="BD16" s="50">
        <v>-0.39996999849992498</v>
      </c>
      <c r="BE16" s="50">
        <v>5000</v>
      </c>
      <c r="BF16" s="50">
        <v>120000</v>
      </c>
      <c r="BG16" s="50">
        <v>-0.39996999849992498</v>
      </c>
      <c r="BH16" s="50">
        <v>5000</v>
      </c>
      <c r="BI16" s="50">
        <v>120000</v>
      </c>
      <c r="BJ16" s="50">
        <v>-0.39996999849992498</v>
      </c>
      <c r="BK16" s="50">
        <v>10000</v>
      </c>
      <c r="BL16" s="50">
        <v>139200</v>
      </c>
      <c r="BM16" s="50">
        <v>-0.30396519825991297</v>
      </c>
      <c r="BN16" s="50">
        <v>139200</v>
      </c>
      <c r="BO16" s="50">
        <v>-0.30396519825991297</v>
      </c>
      <c r="BP16" s="50">
        <v>11600</v>
      </c>
      <c r="BQ16" s="50">
        <v>199990</v>
      </c>
      <c r="BR16" s="50" t="s">
        <v>987</v>
      </c>
      <c r="BS16" s="50" t="s">
        <v>988</v>
      </c>
    </row>
    <row r="17" spans="1:71" ht="15.75" customHeight="1" x14ac:dyDescent="0.2">
      <c r="A17" s="25" t="s">
        <v>428</v>
      </c>
      <c r="B17" s="26" t="s">
        <v>429</v>
      </c>
      <c r="C17" s="27" t="s">
        <v>44</v>
      </c>
      <c r="D17" s="50">
        <v>64800</v>
      </c>
      <c r="E17" s="30">
        <f>+(D17-$P17)/$P17</f>
        <v>-0.67598379918995954</v>
      </c>
      <c r="F17" s="50">
        <f t="shared" si="5"/>
        <v>2700</v>
      </c>
      <c r="G17" s="50">
        <v>64800</v>
      </c>
      <c r="H17" s="30">
        <f>+(G17-$P17)/$P17</f>
        <v>-0.67598379918995954</v>
      </c>
      <c r="I17" s="50">
        <f t="shared" si="6"/>
        <v>2700</v>
      </c>
      <c r="J17" s="50">
        <v>64800</v>
      </c>
      <c r="K17" s="30">
        <f>+(J17-$P17)/$P17</f>
        <v>-0.67598379918995954</v>
      </c>
      <c r="L17" s="50">
        <f t="shared" si="7"/>
        <v>5400</v>
      </c>
      <c r="M17" s="50">
        <v>84000</v>
      </c>
      <c r="N17" s="30">
        <f t="shared" si="8"/>
        <v>-0.57997899894994753</v>
      </c>
      <c r="O17" s="50">
        <f t="shared" si="9"/>
        <v>7000</v>
      </c>
      <c r="P17" s="50">
        <v>199990</v>
      </c>
      <c r="Q17" t="s">
        <v>762</v>
      </c>
      <c r="R17" t="e">
        <f>VLOOKUP(B17,#REF!,1,0)</f>
        <v>#REF!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-10200</v>
      </c>
      <c r="AC17" s="50">
        <v>-5.100255012750643E-2</v>
      </c>
      <c r="AD17" s="50">
        <v>-425</v>
      </c>
      <c r="AE17" s="50">
        <v>-10200</v>
      </c>
      <c r="AF17" s="50">
        <v>-5.100255012750643E-2</v>
      </c>
      <c r="AG17" s="50">
        <v>-425</v>
      </c>
      <c r="AH17" s="50">
        <v>-10200</v>
      </c>
      <c r="AI17" s="50">
        <v>-5.100255012750643E-2</v>
      </c>
      <c r="AJ17" s="50">
        <v>-850</v>
      </c>
      <c r="AK17" s="50">
        <v>-10200</v>
      </c>
      <c r="AL17" s="50">
        <v>-5.100255012750643E-2</v>
      </c>
      <c r="AM17" s="50">
        <v>-10200</v>
      </c>
      <c r="AN17" s="50">
        <v>-5.100255012750643E-2</v>
      </c>
      <c r="AO17" s="50">
        <v>-850</v>
      </c>
      <c r="AP17" s="50">
        <v>0</v>
      </c>
      <c r="AQ17" s="50">
        <v>0</v>
      </c>
      <c r="AR17" s="50">
        <v>0</v>
      </c>
      <c r="AT17" s="50">
        <v>29990</v>
      </c>
      <c r="AU17" s="50">
        <v>8500</v>
      </c>
      <c r="AV17" s="50">
        <v>182990</v>
      </c>
      <c r="AW17" s="50">
        <v>29990</v>
      </c>
      <c r="AX17" s="50">
        <v>8500</v>
      </c>
      <c r="AY17" s="50">
        <v>182990</v>
      </c>
      <c r="AZ17" s="50">
        <v>29990</v>
      </c>
      <c r="BA17" s="50">
        <v>8500</v>
      </c>
      <c r="BB17" s="50">
        <v>182990</v>
      </c>
      <c r="BC17" s="50">
        <v>75000</v>
      </c>
      <c r="BD17" s="50">
        <v>-0.62498124906245311</v>
      </c>
      <c r="BE17" s="50">
        <v>3125</v>
      </c>
      <c r="BF17" s="50">
        <v>75000</v>
      </c>
      <c r="BG17" s="50">
        <v>-0.62498124906245311</v>
      </c>
      <c r="BH17" s="50">
        <v>3125</v>
      </c>
      <c r="BI17" s="50">
        <v>75000</v>
      </c>
      <c r="BJ17" s="50">
        <v>-0.62498124906245311</v>
      </c>
      <c r="BK17" s="50">
        <v>6250</v>
      </c>
      <c r="BL17" s="50">
        <v>94200</v>
      </c>
      <c r="BM17" s="50">
        <v>-0.5289764488224411</v>
      </c>
      <c r="BN17" s="50">
        <v>94200</v>
      </c>
      <c r="BO17" s="50">
        <v>-0.5289764488224411</v>
      </c>
      <c r="BP17" s="50">
        <v>7850</v>
      </c>
      <c r="BQ17" s="50">
        <v>199990</v>
      </c>
      <c r="BR17" s="50" t="s">
        <v>987</v>
      </c>
      <c r="BS17" s="50" t="s">
        <v>988</v>
      </c>
    </row>
    <row r="18" spans="1:71" ht="15.75" customHeight="1" x14ac:dyDescent="0.2">
      <c r="A18" s="25" t="s">
        <v>430</v>
      </c>
      <c r="B18" s="26" t="s">
        <v>431</v>
      </c>
      <c r="C18" s="27" t="s">
        <v>44</v>
      </c>
      <c r="D18" s="50">
        <v>64800</v>
      </c>
      <c r="E18" s="30">
        <f>+(D18-$P18)/$P18</f>
        <v>-0.67598379918995954</v>
      </c>
      <c r="F18" s="50">
        <f t="shared" si="5"/>
        <v>2700</v>
      </c>
      <c r="G18" s="50">
        <v>64800</v>
      </c>
      <c r="H18" s="30">
        <f>+(G18-$P18)/$P18</f>
        <v>-0.67598379918995954</v>
      </c>
      <c r="I18" s="50">
        <f t="shared" si="6"/>
        <v>2700</v>
      </c>
      <c r="J18" s="50">
        <v>64800</v>
      </c>
      <c r="K18" s="30">
        <f>+(J18-$P18)/$P18</f>
        <v>-0.67598379918995954</v>
      </c>
      <c r="L18" s="50">
        <f t="shared" si="7"/>
        <v>5400</v>
      </c>
      <c r="M18" s="50">
        <v>84000</v>
      </c>
      <c r="N18" s="30">
        <f t="shared" si="8"/>
        <v>-0.57997899894994753</v>
      </c>
      <c r="O18" s="50">
        <f t="shared" si="9"/>
        <v>7000</v>
      </c>
      <c r="P18" s="50">
        <v>199990</v>
      </c>
      <c r="Q18" t="s">
        <v>762</v>
      </c>
      <c r="R18" t="e">
        <f>VLOOKUP(B18,#REF!,1,0)</f>
        <v>#REF!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-10200</v>
      </c>
      <c r="AC18" s="50">
        <v>-5.100255012750643E-2</v>
      </c>
      <c r="AD18" s="50">
        <v>-425</v>
      </c>
      <c r="AE18" s="50">
        <v>-10200</v>
      </c>
      <c r="AF18" s="50">
        <v>-5.100255012750643E-2</v>
      </c>
      <c r="AG18" s="50">
        <v>-425</v>
      </c>
      <c r="AH18" s="50">
        <v>-10200</v>
      </c>
      <c r="AI18" s="50">
        <v>-5.100255012750643E-2</v>
      </c>
      <c r="AJ18" s="50">
        <v>-850</v>
      </c>
      <c r="AK18" s="50">
        <v>-10200</v>
      </c>
      <c r="AL18" s="50">
        <v>-5.100255012750643E-2</v>
      </c>
      <c r="AM18" s="50">
        <v>-10200</v>
      </c>
      <c r="AN18" s="50">
        <v>-5.100255012750643E-2</v>
      </c>
      <c r="AO18" s="50">
        <v>-850</v>
      </c>
      <c r="AP18" s="50">
        <v>0</v>
      </c>
      <c r="AQ18" s="50">
        <v>0</v>
      </c>
      <c r="AR18" s="50">
        <v>0</v>
      </c>
      <c r="AT18" s="50">
        <v>29990</v>
      </c>
      <c r="AU18" s="50">
        <v>8500</v>
      </c>
      <c r="AV18" s="50">
        <v>182990</v>
      </c>
      <c r="AW18" s="50">
        <v>29990</v>
      </c>
      <c r="AX18" s="50">
        <v>8500</v>
      </c>
      <c r="AY18" s="50">
        <v>182990</v>
      </c>
      <c r="AZ18" s="50">
        <v>29990</v>
      </c>
      <c r="BA18" s="50">
        <v>8500</v>
      </c>
      <c r="BB18" s="50">
        <v>182990</v>
      </c>
      <c r="BC18" s="50">
        <v>75000</v>
      </c>
      <c r="BD18" s="50">
        <v>-0.62498124906245311</v>
      </c>
      <c r="BE18" s="50">
        <v>3125</v>
      </c>
      <c r="BF18" s="50">
        <v>75000</v>
      </c>
      <c r="BG18" s="50">
        <v>-0.62498124906245311</v>
      </c>
      <c r="BH18" s="50">
        <v>3125</v>
      </c>
      <c r="BI18" s="50">
        <v>75000</v>
      </c>
      <c r="BJ18" s="50">
        <v>-0.62498124906245311</v>
      </c>
      <c r="BK18" s="50">
        <v>6250</v>
      </c>
      <c r="BL18" s="50">
        <v>94200</v>
      </c>
      <c r="BM18" s="50">
        <v>-0.5289764488224411</v>
      </c>
      <c r="BN18" s="50">
        <v>94200</v>
      </c>
      <c r="BO18" s="50">
        <v>-0.5289764488224411</v>
      </c>
      <c r="BP18" s="50">
        <v>7850</v>
      </c>
      <c r="BQ18" s="50">
        <v>199990</v>
      </c>
      <c r="BR18" s="50" t="s">
        <v>987</v>
      </c>
      <c r="BS18" s="50" t="s">
        <v>988</v>
      </c>
    </row>
    <row r="19" spans="1:71" ht="15.75" customHeight="1" x14ac:dyDescent="0.2">
      <c r="A19" s="25" t="s">
        <v>432</v>
      </c>
      <c r="B19" s="26" t="s">
        <v>433</v>
      </c>
      <c r="C19" s="27" t="s">
        <v>401</v>
      </c>
      <c r="D19" s="50">
        <v>112800</v>
      </c>
      <c r="E19" s="30">
        <f>+(D19-$P19)/$P19</f>
        <v>-0.43597179858992952</v>
      </c>
      <c r="F19" s="50">
        <f t="shared" si="5"/>
        <v>4700</v>
      </c>
      <c r="G19" s="50">
        <v>112800</v>
      </c>
      <c r="H19" s="30">
        <f>+(G19-$P19)/$P19</f>
        <v>-0.43597179858992952</v>
      </c>
      <c r="I19" s="50">
        <f t="shared" si="6"/>
        <v>4700</v>
      </c>
      <c r="J19" s="50">
        <v>112800</v>
      </c>
      <c r="K19" s="30">
        <f>+(J19-$P19)/$P19</f>
        <v>-0.43597179858992952</v>
      </c>
      <c r="L19" s="50">
        <f t="shared" si="7"/>
        <v>9400</v>
      </c>
      <c r="M19" s="50">
        <v>124800</v>
      </c>
      <c r="N19" s="30">
        <f t="shared" si="8"/>
        <v>-0.37596879843992198</v>
      </c>
      <c r="O19" s="50">
        <f t="shared" si="9"/>
        <v>10400</v>
      </c>
      <c r="P19" s="50">
        <v>199990</v>
      </c>
      <c r="Q19" t="s">
        <v>763</v>
      </c>
      <c r="R19" t="e">
        <f>VLOOKUP(B19,#REF!,1,0)</f>
        <v>#REF!</v>
      </c>
      <c r="S19" s="50">
        <v>-20000</v>
      </c>
      <c r="T19" s="50">
        <v>2200</v>
      </c>
      <c r="U19" s="50">
        <v>19600</v>
      </c>
      <c r="V19" s="50">
        <v>-20000</v>
      </c>
      <c r="W19" s="50">
        <v>2200</v>
      </c>
      <c r="X19" s="50">
        <v>19600</v>
      </c>
      <c r="Y19" s="50">
        <v>-20000</v>
      </c>
      <c r="Z19" s="50">
        <v>2200</v>
      </c>
      <c r="AA19" s="50">
        <v>19600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4800</v>
      </c>
      <c r="AL19" s="50">
        <v>2.4001200060003003E-2</v>
      </c>
      <c r="AM19" s="50">
        <v>4800</v>
      </c>
      <c r="AN19" s="50">
        <v>2.4001200060003003E-2</v>
      </c>
      <c r="AO19" s="50">
        <v>400</v>
      </c>
      <c r="AP19" s="50">
        <v>0</v>
      </c>
      <c r="AQ19" s="50">
        <v>0</v>
      </c>
      <c r="AR19" s="50">
        <v>0</v>
      </c>
      <c r="AT19" s="50">
        <v>49990</v>
      </c>
      <c r="AU19" s="50">
        <v>7500</v>
      </c>
      <c r="AV19" s="50">
        <v>184990</v>
      </c>
      <c r="AW19" s="50">
        <v>49990</v>
      </c>
      <c r="AX19" s="50">
        <v>7500</v>
      </c>
      <c r="AY19" s="50">
        <v>184990</v>
      </c>
      <c r="AZ19" s="50">
        <v>49990</v>
      </c>
      <c r="BA19" s="50">
        <v>7500</v>
      </c>
      <c r="BB19" s="50">
        <v>184990</v>
      </c>
      <c r="BC19" s="50">
        <v>112800</v>
      </c>
      <c r="BD19" s="50">
        <v>-0.43597179858992952</v>
      </c>
      <c r="BE19" s="50">
        <v>4700</v>
      </c>
      <c r="BF19" s="50">
        <v>112800</v>
      </c>
      <c r="BG19" s="50">
        <v>-0.43597179858992952</v>
      </c>
      <c r="BH19" s="50">
        <v>4700</v>
      </c>
      <c r="BI19" s="50">
        <v>112800</v>
      </c>
      <c r="BJ19" s="50">
        <v>-0.43597179858992952</v>
      </c>
      <c r="BK19" s="50">
        <v>9400</v>
      </c>
      <c r="BL19" s="50">
        <v>120000</v>
      </c>
      <c r="BM19" s="50">
        <v>-0.39996999849992498</v>
      </c>
      <c r="BN19" s="50">
        <v>120000</v>
      </c>
      <c r="BO19" s="50">
        <v>-0.39996999849992498</v>
      </c>
      <c r="BP19" s="50">
        <v>10000</v>
      </c>
      <c r="BQ19" s="50">
        <v>199990</v>
      </c>
      <c r="BR19" s="50" t="s">
        <v>987</v>
      </c>
      <c r="BS19" s="50" t="s">
        <v>988</v>
      </c>
    </row>
    <row r="20" spans="1:71" ht="15.75" customHeight="1" x14ac:dyDescent="0.2">
      <c r="A20" s="25" t="s">
        <v>434</v>
      </c>
      <c r="B20" s="26" t="s">
        <v>435</v>
      </c>
      <c r="C20" s="27" t="s">
        <v>401</v>
      </c>
      <c r="D20" s="50">
        <v>136800</v>
      </c>
      <c r="E20" s="30">
        <f>+(D20-$P20)/$P20</f>
        <v>-0.3159657982899145</v>
      </c>
      <c r="F20" s="50">
        <f t="shared" si="5"/>
        <v>5700</v>
      </c>
      <c r="G20" s="50">
        <v>136800</v>
      </c>
      <c r="H20" s="30">
        <f>+(G20-$P20)/$P20</f>
        <v>-0.3159657982899145</v>
      </c>
      <c r="I20" s="50">
        <f t="shared" si="6"/>
        <v>5700</v>
      </c>
      <c r="J20" s="50">
        <v>136800</v>
      </c>
      <c r="K20" s="30">
        <f>+(J20-$P20)/$P20</f>
        <v>-0.3159657982899145</v>
      </c>
      <c r="L20" s="50">
        <f t="shared" si="7"/>
        <v>11400</v>
      </c>
      <c r="M20" s="50">
        <v>160800</v>
      </c>
      <c r="N20" s="30">
        <f t="shared" si="8"/>
        <v>-0.19595979798989949</v>
      </c>
      <c r="O20" s="50">
        <f t="shared" si="9"/>
        <v>13400</v>
      </c>
      <c r="P20" s="50">
        <v>199990</v>
      </c>
      <c r="Q20" t="s">
        <v>764</v>
      </c>
      <c r="R20" t="e">
        <f>VLOOKUP(B20,#REF!,1,0)</f>
        <v>#REF!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7200</v>
      </c>
      <c r="AL20" s="50">
        <v>3.6001800090004504E-2</v>
      </c>
      <c r="AM20" s="50">
        <v>7200</v>
      </c>
      <c r="AN20" s="50">
        <v>3.6001800090004504E-2</v>
      </c>
      <c r="AO20" s="50">
        <v>600</v>
      </c>
      <c r="AP20" s="50">
        <v>0</v>
      </c>
      <c r="AQ20" s="50">
        <v>0</v>
      </c>
      <c r="AR20" s="50">
        <v>0</v>
      </c>
      <c r="AT20" s="50">
        <v>49990</v>
      </c>
      <c r="AU20" s="50">
        <v>8900</v>
      </c>
      <c r="AV20" s="50">
        <v>210190</v>
      </c>
      <c r="AW20" s="50">
        <v>49990</v>
      </c>
      <c r="AX20" s="50">
        <v>8900</v>
      </c>
      <c r="AY20" s="50">
        <v>210190</v>
      </c>
      <c r="AZ20" s="50">
        <v>49990</v>
      </c>
      <c r="BA20" s="50">
        <v>8900</v>
      </c>
      <c r="BB20" s="50">
        <v>210190</v>
      </c>
      <c r="BC20" s="50">
        <v>136800</v>
      </c>
      <c r="BD20" s="50">
        <v>-0.3159657982899145</v>
      </c>
      <c r="BE20" s="50">
        <v>5700</v>
      </c>
      <c r="BF20" s="50">
        <v>136800</v>
      </c>
      <c r="BG20" s="50">
        <v>-0.3159657982899145</v>
      </c>
      <c r="BH20" s="50">
        <v>5700</v>
      </c>
      <c r="BI20" s="50">
        <v>136800</v>
      </c>
      <c r="BJ20" s="50">
        <v>-0.3159657982899145</v>
      </c>
      <c r="BK20" s="50">
        <v>11400</v>
      </c>
      <c r="BL20" s="50">
        <v>153600</v>
      </c>
      <c r="BM20" s="50">
        <v>-0.23196159807990399</v>
      </c>
      <c r="BN20" s="50">
        <v>153600</v>
      </c>
      <c r="BO20" s="50">
        <v>-0.23196159807990399</v>
      </c>
      <c r="BP20" s="50">
        <v>12800</v>
      </c>
      <c r="BQ20" s="50">
        <v>199990</v>
      </c>
      <c r="BR20" s="50" t="s">
        <v>987</v>
      </c>
      <c r="BS20" s="50" t="s">
        <v>988</v>
      </c>
    </row>
    <row r="21" spans="1:71" ht="15.75" customHeight="1" x14ac:dyDescent="0.2">
      <c r="A21" s="25" t="s">
        <v>436</v>
      </c>
      <c r="B21" s="26" t="s">
        <v>437</v>
      </c>
      <c r="C21" s="27" t="s">
        <v>401</v>
      </c>
      <c r="D21" s="50">
        <v>136800</v>
      </c>
      <c r="E21" s="30">
        <f>+(D21-$P21)/$P21</f>
        <v>-0.3159657982899145</v>
      </c>
      <c r="F21" s="50">
        <f t="shared" si="5"/>
        <v>5700</v>
      </c>
      <c r="G21" s="50">
        <v>136800</v>
      </c>
      <c r="H21" s="30">
        <f>+(G21-$P21)/$P21</f>
        <v>-0.3159657982899145</v>
      </c>
      <c r="I21" s="50">
        <f t="shared" si="6"/>
        <v>5700</v>
      </c>
      <c r="J21" s="50">
        <v>136800</v>
      </c>
      <c r="K21" s="30">
        <f>+(J21-$P21)/$P21</f>
        <v>-0.3159657982899145</v>
      </c>
      <c r="L21" s="50">
        <f t="shared" si="7"/>
        <v>11400</v>
      </c>
      <c r="M21" s="50">
        <v>160800</v>
      </c>
      <c r="N21" s="30">
        <f t="shared" si="8"/>
        <v>-0.19595979798989949</v>
      </c>
      <c r="O21" s="50">
        <f t="shared" si="9"/>
        <v>13400</v>
      </c>
      <c r="P21" s="50">
        <v>199990</v>
      </c>
      <c r="Q21" t="s">
        <v>764</v>
      </c>
      <c r="R21" t="e">
        <f>VLOOKUP(B21,#REF!,1,0)</f>
        <v>#REF!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7200</v>
      </c>
      <c r="AL21" s="50">
        <v>3.6001800090004504E-2</v>
      </c>
      <c r="AM21" s="50">
        <v>7200</v>
      </c>
      <c r="AN21" s="50">
        <v>3.6001800090004504E-2</v>
      </c>
      <c r="AO21" s="50">
        <v>600</v>
      </c>
      <c r="AP21" s="50">
        <v>0</v>
      </c>
      <c r="AQ21" s="50">
        <v>0</v>
      </c>
      <c r="AR21" s="50">
        <v>0</v>
      </c>
      <c r="AT21" s="50">
        <v>49990</v>
      </c>
      <c r="AU21" s="50">
        <v>8900</v>
      </c>
      <c r="AV21" s="50">
        <v>210190</v>
      </c>
      <c r="AW21" s="50">
        <v>49990</v>
      </c>
      <c r="AX21" s="50">
        <v>8900</v>
      </c>
      <c r="AY21" s="50">
        <v>210190</v>
      </c>
      <c r="AZ21" s="50">
        <v>49990</v>
      </c>
      <c r="BA21" s="50">
        <v>8900</v>
      </c>
      <c r="BB21" s="50">
        <v>210190</v>
      </c>
      <c r="BC21" s="50">
        <v>136800</v>
      </c>
      <c r="BD21" s="50">
        <v>-0.3159657982899145</v>
      </c>
      <c r="BE21" s="50">
        <v>5700</v>
      </c>
      <c r="BF21" s="50">
        <v>136800</v>
      </c>
      <c r="BG21" s="50">
        <v>-0.3159657982899145</v>
      </c>
      <c r="BH21" s="50">
        <v>5700</v>
      </c>
      <c r="BI21" s="50">
        <v>136800</v>
      </c>
      <c r="BJ21" s="50">
        <v>-0.3159657982899145</v>
      </c>
      <c r="BK21" s="50">
        <v>11400</v>
      </c>
      <c r="BL21" s="50">
        <v>153600</v>
      </c>
      <c r="BM21" s="50">
        <v>-0.23196159807990399</v>
      </c>
      <c r="BN21" s="50">
        <v>153600</v>
      </c>
      <c r="BO21" s="50">
        <v>-0.23196159807990399</v>
      </c>
      <c r="BP21" s="50">
        <v>12800</v>
      </c>
      <c r="BQ21" s="50">
        <v>199990</v>
      </c>
      <c r="BR21" s="50" t="s">
        <v>987</v>
      </c>
      <c r="BS21" s="50" t="s">
        <v>988</v>
      </c>
    </row>
    <row r="22" spans="1:71" ht="15.75" customHeight="1" x14ac:dyDescent="0.2">
      <c r="A22" s="25" t="s">
        <v>438</v>
      </c>
      <c r="B22" s="26" t="s">
        <v>439</v>
      </c>
      <c r="C22" s="27" t="s">
        <v>44</v>
      </c>
      <c r="D22" s="50">
        <v>84000</v>
      </c>
      <c r="E22" s="30">
        <f>+(D22-$P22)/$P22</f>
        <v>-0.57997899894994753</v>
      </c>
      <c r="F22" s="50">
        <f t="shared" si="5"/>
        <v>3500</v>
      </c>
      <c r="G22" s="50">
        <v>84000</v>
      </c>
      <c r="H22" s="30">
        <f>+(G22-$P22)/$P22</f>
        <v>-0.57997899894994753</v>
      </c>
      <c r="I22" s="50">
        <f t="shared" si="6"/>
        <v>3500</v>
      </c>
      <c r="J22" s="50">
        <v>84000</v>
      </c>
      <c r="K22" s="30">
        <f>+(J22-$P22)/$P22</f>
        <v>-0.57997899894994753</v>
      </c>
      <c r="L22" s="50">
        <f t="shared" si="7"/>
        <v>7000</v>
      </c>
      <c r="M22" s="50">
        <v>96000</v>
      </c>
      <c r="N22" s="30">
        <f t="shared" si="8"/>
        <v>-0.51997599879993994</v>
      </c>
      <c r="O22" s="50">
        <f t="shared" si="9"/>
        <v>8000</v>
      </c>
      <c r="P22" s="50">
        <v>199990</v>
      </c>
      <c r="Q22" t="s">
        <v>765</v>
      </c>
      <c r="R22" t="e">
        <f>VLOOKUP(B22,#REF!,1,0)</f>
        <v>#REF!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T22" s="50">
        <v>19990</v>
      </c>
      <c r="AU22" s="50">
        <v>7300</v>
      </c>
      <c r="AV22" s="50">
        <v>151390</v>
      </c>
      <c r="AW22" s="50">
        <v>19990</v>
      </c>
      <c r="AX22" s="50">
        <v>7300</v>
      </c>
      <c r="AY22" s="50">
        <v>151390</v>
      </c>
      <c r="AZ22" s="50">
        <v>19990</v>
      </c>
      <c r="BA22" s="50">
        <v>7300</v>
      </c>
      <c r="BB22" s="50">
        <v>151390</v>
      </c>
      <c r="BC22" s="50">
        <v>84000</v>
      </c>
      <c r="BD22" s="50">
        <v>-0.57997899894994753</v>
      </c>
      <c r="BE22" s="50">
        <v>3500</v>
      </c>
      <c r="BF22" s="50">
        <v>84000</v>
      </c>
      <c r="BG22" s="50">
        <v>-0.57997899894994753</v>
      </c>
      <c r="BH22" s="50">
        <v>3500</v>
      </c>
      <c r="BI22" s="50">
        <v>84000</v>
      </c>
      <c r="BJ22" s="50">
        <v>-0.57997899894994753</v>
      </c>
      <c r="BK22" s="50">
        <v>7000</v>
      </c>
      <c r="BL22" s="50">
        <v>96000</v>
      </c>
      <c r="BM22" s="50">
        <v>-0.51997599879993994</v>
      </c>
      <c r="BN22" s="50">
        <v>96000</v>
      </c>
      <c r="BO22" s="50">
        <v>-0.51997599879993994</v>
      </c>
      <c r="BP22" s="50">
        <v>8000</v>
      </c>
      <c r="BQ22" s="50">
        <v>199990</v>
      </c>
      <c r="BR22" s="50" t="s">
        <v>987</v>
      </c>
      <c r="BS22" s="50" t="s">
        <v>988</v>
      </c>
    </row>
    <row r="23" spans="1:71" ht="15.75" customHeight="1" x14ac:dyDescent="0.2">
      <c r="A23" s="25" t="s">
        <v>440</v>
      </c>
      <c r="B23" s="26" t="s">
        <v>441</v>
      </c>
      <c r="C23" s="27" t="s">
        <v>44</v>
      </c>
      <c r="D23" s="50">
        <v>84000</v>
      </c>
      <c r="E23" s="30">
        <f>+(D23-$P23)/$P23</f>
        <v>-0.57997899894994753</v>
      </c>
      <c r="F23" s="50">
        <f t="shared" si="5"/>
        <v>3500</v>
      </c>
      <c r="G23" s="50">
        <v>84000</v>
      </c>
      <c r="H23" s="30">
        <f>+(G23-$P23)/$P23</f>
        <v>-0.57997899894994753</v>
      </c>
      <c r="I23" s="50">
        <f t="shared" si="6"/>
        <v>3500</v>
      </c>
      <c r="J23" s="50">
        <v>84000</v>
      </c>
      <c r="K23" s="30">
        <f>+(J23-$P23)/$P23</f>
        <v>-0.57997899894994753</v>
      </c>
      <c r="L23" s="50">
        <f t="shared" si="7"/>
        <v>7000</v>
      </c>
      <c r="M23" s="50">
        <v>96000</v>
      </c>
      <c r="N23" s="30">
        <f t="shared" si="8"/>
        <v>-0.51997599879993994</v>
      </c>
      <c r="O23" s="50">
        <f t="shared" si="9"/>
        <v>8000</v>
      </c>
      <c r="P23" s="50">
        <v>199990</v>
      </c>
      <c r="Q23" t="s">
        <v>765</v>
      </c>
      <c r="R23" t="e">
        <f>VLOOKUP(B23,#REF!,1,0)</f>
        <v>#REF!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T23" s="50">
        <v>19990</v>
      </c>
      <c r="AU23" s="50">
        <v>7300</v>
      </c>
      <c r="AV23" s="50">
        <v>151390</v>
      </c>
      <c r="AW23" s="50">
        <v>19990</v>
      </c>
      <c r="AX23" s="50">
        <v>7300</v>
      </c>
      <c r="AY23" s="50">
        <v>151390</v>
      </c>
      <c r="AZ23" s="50">
        <v>19990</v>
      </c>
      <c r="BA23" s="50">
        <v>7300</v>
      </c>
      <c r="BB23" s="50">
        <v>151390</v>
      </c>
      <c r="BC23" s="50">
        <v>84000</v>
      </c>
      <c r="BD23" s="50">
        <v>-0.57997899894994753</v>
      </c>
      <c r="BE23" s="50">
        <v>3500</v>
      </c>
      <c r="BF23" s="50">
        <v>84000</v>
      </c>
      <c r="BG23" s="50">
        <v>-0.57997899894994753</v>
      </c>
      <c r="BH23" s="50">
        <v>3500</v>
      </c>
      <c r="BI23" s="50">
        <v>84000</v>
      </c>
      <c r="BJ23" s="50">
        <v>-0.57997899894994753</v>
      </c>
      <c r="BK23" s="50">
        <v>7000</v>
      </c>
      <c r="BL23" s="50">
        <v>96000</v>
      </c>
      <c r="BM23" s="50">
        <v>-0.51997599879993994</v>
      </c>
      <c r="BN23" s="50">
        <v>96000</v>
      </c>
      <c r="BO23" s="50">
        <v>-0.51997599879993994</v>
      </c>
      <c r="BP23" s="50">
        <v>8000</v>
      </c>
      <c r="BQ23" s="50">
        <v>199990</v>
      </c>
      <c r="BR23" s="50" t="s">
        <v>987</v>
      </c>
      <c r="BS23" s="50" t="s">
        <v>988</v>
      </c>
    </row>
    <row r="24" spans="1:71" ht="15.75" customHeight="1" x14ac:dyDescent="0.2">
      <c r="A24" s="25" t="s">
        <v>442</v>
      </c>
      <c r="B24" s="26" t="s">
        <v>443</v>
      </c>
      <c r="C24" s="27" t="s">
        <v>44</v>
      </c>
      <c r="D24" s="50">
        <v>84000</v>
      </c>
      <c r="E24" s="30">
        <f>+(D24-$P24)/$P24</f>
        <v>-0.57997899894994753</v>
      </c>
      <c r="F24" s="50">
        <f t="shared" si="5"/>
        <v>3500</v>
      </c>
      <c r="G24" s="50">
        <v>84000</v>
      </c>
      <c r="H24" s="30">
        <f>+(G24-$P24)/$P24</f>
        <v>-0.57997899894994753</v>
      </c>
      <c r="I24" s="50">
        <f t="shared" si="6"/>
        <v>3500</v>
      </c>
      <c r="J24" s="50">
        <v>84000</v>
      </c>
      <c r="K24" s="30">
        <f>+(J24-$P24)/$P24</f>
        <v>-0.57997899894994753</v>
      </c>
      <c r="L24" s="50">
        <f t="shared" si="7"/>
        <v>7000</v>
      </c>
      <c r="M24" s="50">
        <v>96000</v>
      </c>
      <c r="N24" s="30">
        <f t="shared" si="8"/>
        <v>-0.51997599879993994</v>
      </c>
      <c r="O24" s="50">
        <f t="shared" si="9"/>
        <v>8000</v>
      </c>
      <c r="P24" s="50">
        <v>199990</v>
      </c>
      <c r="Q24" t="s">
        <v>765</v>
      </c>
      <c r="R24" t="e">
        <f>VLOOKUP(B24,#REF!,1,0)</f>
        <v>#REF!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T24" s="50">
        <v>19990</v>
      </c>
      <c r="AU24" s="50">
        <v>7300</v>
      </c>
      <c r="AV24" s="50">
        <v>151390</v>
      </c>
      <c r="AW24" s="50">
        <v>19990</v>
      </c>
      <c r="AX24" s="50">
        <v>7300</v>
      </c>
      <c r="AY24" s="50">
        <v>151390</v>
      </c>
      <c r="AZ24" s="50">
        <v>19990</v>
      </c>
      <c r="BA24" s="50">
        <v>7300</v>
      </c>
      <c r="BB24" s="50">
        <v>151390</v>
      </c>
      <c r="BC24" s="50">
        <v>84000</v>
      </c>
      <c r="BD24" s="50">
        <v>-0.57997899894994753</v>
      </c>
      <c r="BE24" s="50">
        <v>3500</v>
      </c>
      <c r="BF24" s="50">
        <v>84000</v>
      </c>
      <c r="BG24" s="50">
        <v>-0.57997899894994753</v>
      </c>
      <c r="BH24" s="50">
        <v>3500</v>
      </c>
      <c r="BI24" s="50">
        <v>84000</v>
      </c>
      <c r="BJ24" s="50">
        <v>-0.57997899894994753</v>
      </c>
      <c r="BK24" s="50">
        <v>7000</v>
      </c>
      <c r="BL24" s="50">
        <v>96000</v>
      </c>
      <c r="BM24" s="50">
        <v>-0.51997599879993994</v>
      </c>
      <c r="BN24" s="50">
        <v>96000</v>
      </c>
      <c r="BO24" s="50">
        <v>-0.51997599879993994</v>
      </c>
      <c r="BP24" s="50">
        <v>8000</v>
      </c>
      <c r="BQ24" s="50">
        <v>199990</v>
      </c>
      <c r="BR24" s="50" t="s">
        <v>987</v>
      </c>
      <c r="BS24" s="50" t="s">
        <v>988</v>
      </c>
    </row>
    <row r="25" spans="1:71" ht="15.75" customHeight="1" x14ac:dyDescent="0.2">
      <c r="A25" s="25" t="s">
        <v>444</v>
      </c>
      <c r="B25" s="26" t="s">
        <v>445</v>
      </c>
      <c r="C25" s="27" t="s">
        <v>401</v>
      </c>
      <c r="D25" s="50">
        <v>112800</v>
      </c>
      <c r="E25" s="30">
        <f>+(D25-$P25)/$P25</f>
        <v>-0.43597179858992952</v>
      </c>
      <c r="F25" s="50">
        <f t="shared" si="5"/>
        <v>4700</v>
      </c>
      <c r="G25" s="50">
        <v>112800</v>
      </c>
      <c r="H25" s="30">
        <f>+(G25-$P25)/$P25</f>
        <v>-0.43597179858992952</v>
      </c>
      <c r="I25" s="50">
        <f t="shared" si="6"/>
        <v>4700</v>
      </c>
      <c r="J25" s="50">
        <v>112800</v>
      </c>
      <c r="K25" s="30">
        <f>+(J25-$P25)/$P25</f>
        <v>-0.43597179858992952</v>
      </c>
      <c r="L25" s="50">
        <f t="shared" si="7"/>
        <v>9400</v>
      </c>
      <c r="M25" s="50">
        <v>124800</v>
      </c>
      <c r="N25" s="30">
        <f t="shared" si="8"/>
        <v>-0.37596879843992198</v>
      </c>
      <c r="O25" s="50">
        <f t="shared" si="9"/>
        <v>10400</v>
      </c>
      <c r="P25" s="50">
        <v>199990</v>
      </c>
      <c r="Q25" t="s">
        <v>763</v>
      </c>
      <c r="R25" t="e">
        <f>VLOOKUP(B25,#REF!,1,0)</f>
        <v>#REF!</v>
      </c>
      <c r="S25" s="50">
        <v>-20000</v>
      </c>
      <c r="T25" s="50">
        <v>2200</v>
      </c>
      <c r="U25" s="50">
        <v>19600</v>
      </c>
      <c r="V25" s="50">
        <v>-20000</v>
      </c>
      <c r="W25" s="50">
        <v>2200</v>
      </c>
      <c r="X25" s="50">
        <v>19600</v>
      </c>
      <c r="Y25" s="50">
        <v>-20000</v>
      </c>
      <c r="Z25" s="50">
        <v>2200</v>
      </c>
      <c r="AA25" s="50">
        <v>19600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4800</v>
      </c>
      <c r="AL25" s="50">
        <v>2.4001200060003003E-2</v>
      </c>
      <c r="AM25" s="50">
        <v>4800</v>
      </c>
      <c r="AN25" s="50">
        <v>2.4001200060003003E-2</v>
      </c>
      <c r="AO25" s="50">
        <v>400</v>
      </c>
      <c r="AP25" s="50">
        <v>0</v>
      </c>
      <c r="AQ25" s="50">
        <v>0</v>
      </c>
      <c r="AR25" s="50">
        <v>0</v>
      </c>
      <c r="AT25" s="50">
        <v>49990</v>
      </c>
      <c r="AU25" s="50">
        <v>7500</v>
      </c>
      <c r="AV25" s="50">
        <v>184990</v>
      </c>
      <c r="AW25" s="50">
        <v>49990</v>
      </c>
      <c r="AX25" s="50">
        <v>7500</v>
      </c>
      <c r="AY25" s="50">
        <v>184990</v>
      </c>
      <c r="AZ25" s="50">
        <v>49990</v>
      </c>
      <c r="BA25" s="50">
        <v>7500</v>
      </c>
      <c r="BB25" s="50">
        <v>184990</v>
      </c>
      <c r="BC25" s="50">
        <v>112800</v>
      </c>
      <c r="BD25" s="50">
        <v>-0.43597179858992952</v>
      </c>
      <c r="BE25" s="50">
        <v>4700</v>
      </c>
      <c r="BF25" s="50">
        <v>112800</v>
      </c>
      <c r="BG25" s="50">
        <v>-0.43597179858992952</v>
      </c>
      <c r="BH25" s="50">
        <v>4700</v>
      </c>
      <c r="BI25" s="50">
        <v>112800</v>
      </c>
      <c r="BJ25" s="50">
        <v>-0.43597179858992952</v>
      </c>
      <c r="BK25" s="50">
        <v>9400</v>
      </c>
      <c r="BL25" s="50">
        <v>120000</v>
      </c>
      <c r="BM25" s="50">
        <v>-0.39996999849992498</v>
      </c>
      <c r="BN25" s="50">
        <v>120000</v>
      </c>
      <c r="BO25" s="50">
        <v>-0.39996999849992498</v>
      </c>
      <c r="BP25" s="50">
        <v>10000</v>
      </c>
      <c r="BQ25" s="50">
        <v>199990</v>
      </c>
      <c r="BR25" s="50" t="s">
        <v>987</v>
      </c>
      <c r="BS25" s="50" t="s">
        <v>988</v>
      </c>
    </row>
    <row r="26" spans="1:71" ht="15.75" customHeight="1" x14ac:dyDescent="0.2">
      <c r="A26" s="25" t="s">
        <v>446</v>
      </c>
      <c r="B26" s="26" t="s">
        <v>447</v>
      </c>
      <c r="C26" s="27" t="s">
        <v>401</v>
      </c>
      <c r="D26" s="50">
        <v>144000</v>
      </c>
      <c r="E26" s="30">
        <f>+(D26-$P26)/$P26</f>
        <v>-0.31425305966950806</v>
      </c>
      <c r="F26" s="50">
        <f t="shared" si="5"/>
        <v>6000</v>
      </c>
      <c r="G26" s="50">
        <v>144000</v>
      </c>
      <c r="H26" s="30">
        <f>+(G26-$P26)/$P26</f>
        <v>-0.31425305966950806</v>
      </c>
      <c r="I26" s="50">
        <f t="shared" si="6"/>
        <v>6000</v>
      </c>
      <c r="J26" s="50">
        <v>144000</v>
      </c>
      <c r="K26" s="30">
        <f>+(J26-$P26)/$P26</f>
        <v>-0.31425305966950806</v>
      </c>
      <c r="L26" s="50">
        <f t="shared" si="7"/>
        <v>12000</v>
      </c>
      <c r="M26" s="50">
        <v>168000</v>
      </c>
      <c r="N26" s="30">
        <f t="shared" si="8"/>
        <v>-0.19996190294775942</v>
      </c>
      <c r="O26" s="50">
        <f t="shared" si="9"/>
        <v>14000</v>
      </c>
      <c r="P26" s="50">
        <v>209990</v>
      </c>
      <c r="Q26" t="s">
        <v>766</v>
      </c>
      <c r="R26" t="e">
        <f>VLOOKUP(B26,#REF!,1,0)</f>
        <v>#REF!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T26" s="50">
        <v>59990</v>
      </c>
      <c r="AU26" s="50">
        <v>10100</v>
      </c>
      <c r="AV26" s="50">
        <v>241790</v>
      </c>
      <c r="AW26" s="50">
        <v>59990</v>
      </c>
      <c r="AX26" s="50">
        <v>10100</v>
      </c>
      <c r="AY26" s="50">
        <v>241790</v>
      </c>
      <c r="AZ26" s="50">
        <v>59990</v>
      </c>
      <c r="BA26" s="50">
        <v>10100</v>
      </c>
      <c r="BB26" s="50">
        <v>241790</v>
      </c>
      <c r="BC26" s="50">
        <v>144000</v>
      </c>
      <c r="BD26" s="50">
        <v>-0.31425305966950806</v>
      </c>
      <c r="BE26" s="50">
        <v>6000</v>
      </c>
      <c r="BF26" s="50">
        <v>144000</v>
      </c>
      <c r="BG26" s="50">
        <v>-0.31425305966950806</v>
      </c>
      <c r="BH26" s="50">
        <v>6000</v>
      </c>
      <c r="BI26" s="50">
        <v>144000</v>
      </c>
      <c r="BJ26" s="50">
        <v>-0.31425305966950806</v>
      </c>
      <c r="BK26" s="50">
        <v>12000</v>
      </c>
      <c r="BL26" s="50">
        <v>168000</v>
      </c>
      <c r="BM26" s="50">
        <v>-0.19996190294775942</v>
      </c>
      <c r="BN26" s="50">
        <v>168000</v>
      </c>
      <c r="BO26" s="50">
        <v>-0.19996190294775942</v>
      </c>
      <c r="BP26" s="50">
        <v>14000</v>
      </c>
      <c r="BQ26" s="50">
        <v>209990</v>
      </c>
      <c r="BR26" s="50" t="s">
        <v>987</v>
      </c>
      <c r="BS26" s="50" t="s">
        <v>988</v>
      </c>
    </row>
    <row r="27" spans="1:71" ht="15.75" customHeight="1" x14ac:dyDescent="0.2">
      <c r="A27" s="25" t="s">
        <v>448</v>
      </c>
      <c r="B27" s="26" t="s">
        <v>449</v>
      </c>
      <c r="C27" s="27" t="s">
        <v>401</v>
      </c>
      <c r="D27" s="50">
        <v>144000</v>
      </c>
      <c r="E27" s="30">
        <f>+(D27-$P27)/$P27</f>
        <v>-0.31425305966950806</v>
      </c>
      <c r="F27" s="50">
        <f t="shared" si="5"/>
        <v>6000</v>
      </c>
      <c r="G27" s="50">
        <v>144000</v>
      </c>
      <c r="H27" s="30">
        <f>+(G27-$P27)/$P27</f>
        <v>-0.31425305966950806</v>
      </c>
      <c r="I27" s="50">
        <f t="shared" si="6"/>
        <v>6000</v>
      </c>
      <c r="J27" s="50">
        <v>144000</v>
      </c>
      <c r="K27" s="30">
        <f>+(J27-$P27)/$P27</f>
        <v>-0.31425305966950806</v>
      </c>
      <c r="L27" s="50">
        <f t="shared" si="7"/>
        <v>12000</v>
      </c>
      <c r="M27" s="50">
        <v>168000</v>
      </c>
      <c r="N27" s="30">
        <f t="shared" si="8"/>
        <v>-0.19996190294775942</v>
      </c>
      <c r="O27" s="50">
        <f t="shared" si="9"/>
        <v>14000</v>
      </c>
      <c r="P27" s="50">
        <v>209990</v>
      </c>
      <c r="Q27" t="s">
        <v>766</v>
      </c>
      <c r="R27" t="e">
        <f>VLOOKUP(B27,#REF!,1,0)</f>
        <v>#REF!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T27" s="50">
        <v>59990</v>
      </c>
      <c r="AU27" s="50">
        <v>10100</v>
      </c>
      <c r="AV27" s="50">
        <v>241790</v>
      </c>
      <c r="AW27" s="50">
        <v>59990</v>
      </c>
      <c r="AX27" s="50">
        <v>10100</v>
      </c>
      <c r="AY27" s="50">
        <v>241790</v>
      </c>
      <c r="AZ27" s="50">
        <v>59990</v>
      </c>
      <c r="BA27" s="50">
        <v>10100</v>
      </c>
      <c r="BB27" s="50">
        <v>241790</v>
      </c>
      <c r="BC27" s="50">
        <v>144000</v>
      </c>
      <c r="BD27" s="50">
        <v>-0.31425305966950806</v>
      </c>
      <c r="BE27" s="50">
        <v>6000</v>
      </c>
      <c r="BF27" s="50">
        <v>144000</v>
      </c>
      <c r="BG27" s="50">
        <v>-0.31425305966950806</v>
      </c>
      <c r="BH27" s="50">
        <v>6000</v>
      </c>
      <c r="BI27" s="50">
        <v>144000</v>
      </c>
      <c r="BJ27" s="50">
        <v>-0.31425305966950806</v>
      </c>
      <c r="BK27" s="50">
        <v>12000</v>
      </c>
      <c r="BL27" s="50">
        <v>168000</v>
      </c>
      <c r="BM27" s="50">
        <v>-0.19996190294775942</v>
      </c>
      <c r="BN27" s="50">
        <v>168000</v>
      </c>
      <c r="BO27" s="50">
        <v>-0.19996190294775942</v>
      </c>
      <c r="BP27" s="50">
        <v>14000</v>
      </c>
      <c r="BQ27" s="50">
        <v>209990</v>
      </c>
      <c r="BR27" s="50" t="s">
        <v>987</v>
      </c>
      <c r="BS27" s="50" t="s">
        <v>988</v>
      </c>
    </row>
    <row r="28" spans="1:71" ht="15.75" customHeight="1" x14ac:dyDescent="0.2">
      <c r="A28" s="25" t="s">
        <v>450</v>
      </c>
      <c r="B28" s="26" t="s">
        <v>451</v>
      </c>
      <c r="C28" s="27" t="s">
        <v>401</v>
      </c>
      <c r="D28" s="50">
        <v>132000</v>
      </c>
      <c r="E28" s="30">
        <f>+(D28-$P28)/$P28</f>
        <v>-0.42606200269576938</v>
      </c>
      <c r="F28" s="50">
        <f t="shared" si="5"/>
        <v>5500</v>
      </c>
      <c r="G28" s="50">
        <v>132000</v>
      </c>
      <c r="H28" s="30">
        <f>+(G28-$P28)/$P28</f>
        <v>-0.42606200269576938</v>
      </c>
      <c r="I28" s="50">
        <f t="shared" si="6"/>
        <v>5500</v>
      </c>
      <c r="J28" s="50">
        <v>132000</v>
      </c>
      <c r="K28" s="30">
        <f>+(J28-$P28)/$P28</f>
        <v>-0.42606200269576938</v>
      </c>
      <c r="L28" s="50">
        <f t="shared" si="7"/>
        <v>11000</v>
      </c>
      <c r="M28" s="50">
        <v>144000</v>
      </c>
      <c r="N28" s="30">
        <f t="shared" si="8"/>
        <v>-0.3738858211226575</v>
      </c>
      <c r="O28" s="50">
        <f t="shared" si="9"/>
        <v>12000</v>
      </c>
      <c r="P28" s="50">
        <v>229990</v>
      </c>
      <c r="Q28" t="s">
        <v>767</v>
      </c>
      <c r="R28" t="e">
        <f>VLOOKUP(B28,#REF!,1,0)</f>
        <v>#REF!</v>
      </c>
      <c r="S28" s="50">
        <v>-10000</v>
      </c>
      <c r="T28" s="50">
        <v>600</v>
      </c>
      <c r="U28" s="50">
        <v>800</v>
      </c>
      <c r="V28" s="50">
        <v>-10000</v>
      </c>
      <c r="W28" s="50">
        <v>600</v>
      </c>
      <c r="X28" s="50">
        <v>800</v>
      </c>
      <c r="Y28" s="50">
        <v>-10000</v>
      </c>
      <c r="Z28" s="50">
        <v>600</v>
      </c>
      <c r="AA28" s="50">
        <v>800</v>
      </c>
      <c r="AB28" s="50">
        <v>-16800</v>
      </c>
      <c r="AC28" s="50">
        <v>-7.304665420235662E-2</v>
      </c>
      <c r="AD28" s="50">
        <v>-700</v>
      </c>
      <c r="AE28" s="50">
        <v>-16800</v>
      </c>
      <c r="AF28" s="50">
        <v>-7.304665420235662E-2</v>
      </c>
      <c r="AG28" s="50">
        <v>-700</v>
      </c>
      <c r="AH28" s="50">
        <v>-16800</v>
      </c>
      <c r="AI28" s="50">
        <v>-7.304665420235662E-2</v>
      </c>
      <c r="AJ28" s="50">
        <v>-1400</v>
      </c>
      <c r="AK28" s="50">
        <v>-24000</v>
      </c>
      <c r="AL28" s="50">
        <v>-0.10435236314622376</v>
      </c>
      <c r="AM28" s="50">
        <v>-24000</v>
      </c>
      <c r="AN28" s="50">
        <v>-0.10435236314622376</v>
      </c>
      <c r="AO28" s="50">
        <v>-2000</v>
      </c>
      <c r="AP28" s="50">
        <v>0</v>
      </c>
      <c r="AQ28" s="50">
        <v>0</v>
      </c>
      <c r="AR28" s="50">
        <v>0</v>
      </c>
      <c r="AT28" s="50">
        <v>59990</v>
      </c>
      <c r="AU28" s="50">
        <v>8400</v>
      </c>
      <c r="AV28" s="50">
        <v>211190</v>
      </c>
      <c r="AW28" s="50">
        <v>59990</v>
      </c>
      <c r="AX28" s="50">
        <v>8400</v>
      </c>
      <c r="AY28" s="50">
        <v>211190</v>
      </c>
      <c r="AZ28" s="50">
        <v>59990</v>
      </c>
      <c r="BA28" s="50">
        <v>8400</v>
      </c>
      <c r="BB28" s="50">
        <v>211190</v>
      </c>
      <c r="BC28" s="50">
        <v>148800</v>
      </c>
      <c r="BD28" s="50">
        <v>-0.35301534849341276</v>
      </c>
      <c r="BE28" s="50">
        <v>6200</v>
      </c>
      <c r="BF28" s="50">
        <v>148800</v>
      </c>
      <c r="BG28" s="50">
        <v>-0.35301534849341276</v>
      </c>
      <c r="BH28" s="50">
        <v>6200</v>
      </c>
      <c r="BI28" s="50">
        <v>148800</v>
      </c>
      <c r="BJ28" s="50">
        <v>-0.35301534849341276</v>
      </c>
      <c r="BK28" s="50">
        <v>12400</v>
      </c>
      <c r="BL28" s="50">
        <v>168000</v>
      </c>
      <c r="BM28" s="50">
        <v>-0.26953345797643374</v>
      </c>
      <c r="BN28" s="50">
        <v>168000</v>
      </c>
      <c r="BO28" s="50">
        <v>-0.26953345797643374</v>
      </c>
      <c r="BP28" s="50">
        <v>14000</v>
      </c>
      <c r="BQ28" s="50">
        <v>229990</v>
      </c>
      <c r="BR28" s="50" t="s">
        <v>987</v>
      </c>
      <c r="BS28" s="50" t="s">
        <v>988</v>
      </c>
    </row>
    <row r="29" spans="1:71" ht="15.75" customHeight="1" x14ac:dyDescent="0.2">
      <c r="A29" s="25" t="s">
        <v>452</v>
      </c>
      <c r="B29" s="26" t="s">
        <v>453</v>
      </c>
      <c r="C29" s="27" t="s">
        <v>44</v>
      </c>
      <c r="D29" s="50">
        <v>112800</v>
      </c>
      <c r="E29" s="30">
        <f>+(D29-$P29)/$P29</f>
        <v>-0.5095438932127484</v>
      </c>
      <c r="F29" s="50">
        <f t="shared" si="5"/>
        <v>4700</v>
      </c>
      <c r="G29" s="50">
        <v>112800</v>
      </c>
      <c r="H29" s="30">
        <f>+(G29-$P29)/$P29</f>
        <v>-0.5095438932127484</v>
      </c>
      <c r="I29" s="50">
        <f t="shared" si="6"/>
        <v>4700</v>
      </c>
      <c r="J29" s="50">
        <v>112800</v>
      </c>
      <c r="K29" s="30">
        <f>+(J29-$P29)/$P29</f>
        <v>-0.5095438932127484</v>
      </c>
      <c r="L29" s="50">
        <f t="shared" si="7"/>
        <v>9400</v>
      </c>
      <c r="M29" s="50">
        <v>129600</v>
      </c>
      <c r="N29" s="30">
        <f t="shared" si="8"/>
        <v>-0.43649723901039178</v>
      </c>
      <c r="O29" s="50">
        <f t="shared" si="9"/>
        <v>10800</v>
      </c>
      <c r="P29" s="50">
        <v>229990</v>
      </c>
      <c r="Q29" t="s">
        <v>768</v>
      </c>
      <c r="R29" t="e">
        <f>VLOOKUP(B29,#REF!,1,0)</f>
        <v>#REF!</v>
      </c>
      <c r="S29" s="50">
        <v>-10000</v>
      </c>
      <c r="T29" s="50">
        <v>1600</v>
      </c>
      <c r="U29" s="50">
        <v>18800</v>
      </c>
      <c r="V29" s="50">
        <v>-10000</v>
      </c>
      <c r="W29" s="50">
        <v>1600</v>
      </c>
      <c r="X29" s="50">
        <v>18800</v>
      </c>
      <c r="Y29" s="50">
        <v>-10000</v>
      </c>
      <c r="Z29" s="50">
        <v>1600</v>
      </c>
      <c r="AA29" s="50">
        <v>18800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T29" s="50">
        <v>39990</v>
      </c>
      <c r="AU29" s="50">
        <v>8300</v>
      </c>
      <c r="AV29" s="50">
        <v>189390</v>
      </c>
      <c r="AW29" s="50">
        <v>39990</v>
      </c>
      <c r="AX29" s="50">
        <v>8300</v>
      </c>
      <c r="AY29" s="50">
        <v>189390</v>
      </c>
      <c r="AZ29" s="50">
        <v>39990</v>
      </c>
      <c r="BA29" s="50">
        <v>8300</v>
      </c>
      <c r="BB29" s="50">
        <v>189390</v>
      </c>
      <c r="BC29" s="50">
        <v>112800</v>
      </c>
      <c r="BD29" s="50">
        <v>-0.5095438932127484</v>
      </c>
      <c r="BE29" s="50">
        <v>4700</v>
      </c>
      <c r="BF29" s="50">
        <v>112800</v>
      </c>
      <c r="BG29" s="50">
        <v>-0.5095438932127484</v>
      </c>
      <c r="BH29" s="50">
        <v>4700</v>
      </c>
      <c r="BI29" s="50">
        <v>112800</v>
      </c>
      <c r="BJ29" s="50">
        <v>-0.5095438932127484</v>
      </c>
      <c r="BK29" s="50">
        <v>9400</v>
      </c>
      <c r="BL29" s="50">
        <v>129600</v>
      </c>
      <c r="BM29" s="50">
        <v>-0.43649723901039178</v>
      </c>
      <c r="BN29" s="50">
        <v>129600</v>
      </c>
      <c r="BO29" s="50">
        <v>-0.43649723901039178</v>
      </c>
      <c r="BP29" s="50">
        <v>10800</v>
      </c>
      <c r="BQ29" s="50">
        <v>229990</v>
      </c>
      <c r="BR29" s="50" t="s">
        <v>987</v>
      </c>
      <c r="BS29" s="50" t="s">
        <v>988</v>
      </c>
    </row>
    <row r="30" spans="1:71" ht="15.75" customHeight="1" x14ac:dyDescent="0.2">
      <c r="A30" s="25" t="s">
        <v>455</v>
      </c>
      <c r="B30" s="26" t="s">
        <v>456</v>
      </c>
      <c r="C30" s="27" t="s">
        <v>44</v>
      </c>
      <c r="D30" s="50">
        <v>112800</v>
      </c>
      <c r="E30" s="30">
        <f>+(D30-$P30)/$P30</f>
        <v>-0.5095438932127484</v>
      </c>
      <c r="F30" s="50">
        <f t="shared" si="5"/>
        <v>4700</v>
      </c>
      <c r="G30" s="50">
        <v>112800</v>
      </c>
      <c r="H30" s="30">
        <f>+(G30-$P30)/$P30</f>
        <v>-0.5095438932127484</v>
      </c>
      <c r="I30" s="50">
        <f t="shared" si="6"/>
        <v>4700</v>
      </c>
      <c r="J30" s="50">
        <v>112800</v>
      </c>
      <c r="K30" s="30">
        <f>+(J30-$P30)/$P30</f>
        <v>-0.5095438932127484</v>
      </c>
      <c r="L30" s="50">
        <f t="shared" si="7"/>
        <v>9400</v>
      </c>
      <c r="M30" s="50">
        <v>129600</v>
      </c>
      <c r="N30" s="30">
        <f t="shared" si="8"/>
        <v>-0.43649723901039178</v>
      </c>
      <c r="O30" s="50">
        <f t="shared" si="9"/>
        <v>10800</v>
      </c>
      <c r="P30" s="50">
        <v>229990</v>
      </c>
      <c r="Q30" t="s">
        <v>768</v>
      </c>
      <c r="R30" t="e">
        <f>VLOOKUP(B30,#REF!,1,0)</f>
        <v>#REF!</v>
      </c>
      <c r="S30" s="50">
        <v>-10000</v>
      </c>
      <c r="T30" s="50">
        <v>1600</v>
      </c>
      <c r="U30" s="50">
        <v>18800</v>
      </c>
      <c r="V30" s="50">
        <v>-10000</v>
      </c>
      <c r="W30" s="50">
        <v>1600</v>
      </c>
      <c r="X30" s="50">
        <v>18800</v>
      </c>
      <c r="Y30" s="50">
        <v>-10000</v>
      </c>
      <c r="Z30" s="50">
        <v>1600</v>
      </c>
      <c r="AA30" s="50">
        <v>18800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T30" s="50">
        <v>39990</v>
      </c>
      <c r="AU30" s="50">
        <v>8300</v>
      </c>
      <c r="AV30" s="50">
        <v>189390</v>
      </c>
      <c r="AW30" s="50">
        <v>39990</v>
      </c>
      <c r="AX30" s="50">
        <v>8300</v>
      </c>
      <c r="AY30" s="50">
        <v>189390</v>
      </c>
      <c r="AZ30" s="50">
        <v>39990</v>
      </c>
      <c r="BA30" s="50">
        <v>8300</v>
      </c>
      <c r="BB30" s="50">
        <v>189390</v>
      </c>
      <c r="BC30" s="50">
        <v>112800</v>
      </c>
      <c r="BD30" s="50">
        <v>-0.5095438932127484</v>
      </c>
      <c r="BE30" s="50">
        <v>4700</v>
      </c>
      <c r="BF30" s="50">
        <v>112800</v>
      </c>
      <c r="BG30" s="50">
        <v>-0.5095438932127484</v>
      </c>
      <c r="BH30" s="50">
        <v>4700</v>
      </c>
      <c r="BI30" s="50">
        <v>112800</v>
      </c>
      <c r="BJ30" s="50">
        <v>-0.5095438932127484</v>
      </c>
      <c r="BK30" s="50">
        <v>9400</v>
      </c>
      <c r="BL30" s="50">
        <v>129600</v>
      </c>
      <c r="BM30" s="50">
        <v>-0.43649723901039178</v>
      </c>
      <c r="BN30" s="50">
        <v>129600</v>
      </c>
      <c r="BO30" s="50">
        <v>-0.43649723901039178</v>
      </c>
      <c r="BP30" s="50">
        <v>10800</v>
      </c>
      <c r="BQ30" s="50">
        <v>229990</v>
      </c>
      <c r="BR30" s="50" t="s">
        <v>987</v>
      </c>
      <c r="BS30" s="50" t="s">
        <v>988</v>
      </c>
    </row>
    <row r="31" spans="1:71" ht="15.75" customHeight="1" x14ac:dyDescent="0.2">
      <c r="A31" s="25" t="s">
        <v>458</v>
      </c>
      <c r="B31" s="26" t="s">
        <v>459</v>
      </c>
      <c r="C31" s="27" t="s">
        <v>44</v>
      </c>
      <c r="D31" s="50">
        <v>112800</v>
      </c>
      <c r="E31" s="30">
        <f>+(D31-$P31)/$P31</f>
        <v>-0.5095438932127484</v>
      </c>
      <c r="F31" s="50">
        <f t="shared" si="5"/>
        <v>4700</v>
      </c>
      <c r="G31" s="50">
        <v>112800</v>
      </c>
      <c r="H31" s="30">
        <f>+(G31-$P31)/$P31</f>
        <v>-0.5095438932127484</v>
      </c>
      <c r="I31" s="50">
        <f t="shared" si="6"/>
        <v>4700</v>
      </c>
      <c r="J31" s="50">
        <v>112800</v>
      </c>
      <c r="K31" s="30">
        <f>+(J31-$P31)/$P31</f>
        <v>-0.5095438932127484</v>
      </c>
      <c r="L31" s="50">
        <f t="shared" si="7"/>
        <v>9400</v>
      </c>
      <c r="M31" s="50">
        <v>129600</v>
      </c>
      <c r="N31" s="30">
        <f t="shared" si="8"/>
        <v>-0.43649723901039178</v>
      </c>
      <c r="O31" s="50">
        <f t="shared" si="9"/>
        <v>10800</v>
      </c>
      <c r="P31" s="50">
        <v>229990</v>
      </c>
      <c r="Q31" t="s">
        <v>768</v>
      </c>
      <c r="R31" t="e">
        <f>VLOOKUP(B31,#REF!,1,0)</f>
        <v>#REF!</v>
      </c>
      <c r="S31" s="50">
        <v>-10000</v>
      </c>
      <c r="T31" s="50">
        <v>1600</v>
      </c>
      <c r="U31" s="50">
        <v>18800</v>
      </c>
      <c r="V31" s="50">
        <v>-10000</v>
      </c>
      <c r="W31" s="50">
        <v>1600</v>
      </c>
      <c r="X31" s="50">
        <v>18800</v>
      </c>
      <c r="Y31" s="50">
        <v>-10000</v>
      </c>
      <c r="Z31" s="50">
        <v>1600</v>
      </c>
      <c r="AA31" s="50">
        <v>18800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T31" s="50">
        <v>39990</v>
      </c>
      <c r="AU31" s="50">
        <v>8300</v>
      </c>
      <c r="AV31" s="50">
        <v>189390</v>
      </c>
      <c r="AW31" s="50">
        <v>39990</v>
      </c>
      <c r="AX31" s="50">
        <v>8300</v>
      </c>
      <c r="AY31" s="50">
        <v>189390</v>
      </c>
      <c r="AZ31" s="50">
        <v>39990</v>
      </c>
      <c r="BA31" s="50">
        <v>8300</v>
      </c>
      <c r="BB31" s="50">
        <v>189390</v>
      </c>
      <c r="BC31" s="50">
        <v>112800</v>
      </c>
      <c r="BD31" s="50">
        <v>-0.5095438932127484</v>
      </c>
      <c r="BE31" s="50">
        <v>4700</v>
      </c>
      <c r="BF31" s="50">
        <v>112800</v>
      </c>
      <c r="BG31" s="50">
        <v>-0.5095438932127484</v>
      </c>
      <c r="BH31" s="50">
        <v>4700</v>
      </c>
      <c r="BI31" s="50">
        <v>112800</v>
      </c>
      <c r="BJ31" s="50">
        <v>-0.5095438932127484</v>
      </c>
      <c r="BK31" s="50">
        <v>9400</v>
      </c>
      <c r="BL31" s="50">
        <v>129600</v>
      </c>
      <c r="BM31" s="50">
        <v>-0.43649723901039178</v>
      </c>
      <c r="BN31" s="50">
        <v>129600</v>
      </c>
      <c r="BO31" s="50">
        <v>-0.43649723901039178</v>
      </c>
      <c r="BP31" s="50">
        <v>10800</v>
      </c>
      <c r="BQ31" s="50">
        <v>229990</v>
      </c>
      <c r="BR31" s="50" t="s">
        <v>987</v>
      </c>
      <c r="BS31" s="50" t="s">
        <v>988</v>
      </c>
    </row>
    <row r="32" spans="1:71" ht="15.75" customHeight="1" x14ac:dyDescent="0.2">
      <c r="A32" s="25" t="s">
        <v>461</v>
      </c>
      <c r="B32" s="26" t="s">
        <v>462</v>
      </c>
      <c r="C32" s="27" t="s">
        <v>44</v>
      </c>
      <c r="D32" s="50">
        <v>112800</v>
      </c>
      <c r="E32" s="30">
        <f>+(D32-$P32)/$P32</f>
        <v>-0.5095438932127484</v>
      </c>
      <c r="F32" s="50">
        <f t="shared" si="5"/>
        <v>4700</v>
      </c>
      <c r="G32" s="50">
        <v>112800</v>
      </c>
      <c r="H32" s="30">
        <f>+(G32-$P32)/$P32</f>
        <v>-0.5095438932127484</v>
      </c>
      <c r="I32" s="50">
        <f t="shared" si="6"/>
        <v>4700</v>
      </c>
      <c r="J32" s="50">
        <v>112800</v>
      </c>
      <c r="K32" s="30">
        <f>+(J32-$P32)/$P32</f>
        <v>-0.5095438932127484</v>
      </c>
      <c r="L32" s="50">
        <f t="shared" si="7"/>
        <v>9400</v>
      </c>
      <c r="M32" s="50">
        <v>129600</v>
      </c>
      <c r="N32" s="30">
        <f t="shared" si="8"/>
        <v>-0.43649723901039178</v>
      </c>
      <c r="O32" s="50">
        <f t="shared" si="9"/>
        <v>10800</v>
      </c>
      <c r="P32" s="50">
        <v>229990</v>
      </c>
      <c r="Q32" t="s">
        <v>768</v>
      </c>
      <c r="R32" t="e">
        <f>VLOOKUP(B32,#REF!,1,0)</f>
        <v>#REF!</v>
      </c>
      <c r="S32" s="50">
        <v>-10000</v>
      </c>
      <c r="T32" s="50">
        <v>1600</v>
      </c>
      <c r="U32" s="50">
        <v>18800</v>
      </c>
      <c r="V32" s="50">
        <v>-10000</v>
      </c>
      <c r="W32" s="50">
        <v>1600</v>
      </c>
      <c r="X32" s="50">
        <v>18800</v>
      </c>
      <c r="Y32" s="50">
        <v>-10000</v>
      </c>
      <c r="Z32" s="50">
        <v>1600</v>
      </c>
      <c r="AA32" s="50">
        <v>18800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50">
        <v>0</v>
      </c>
      <c r="AH32" s="50">
        <v>0</v>
      </c>
      <c r="AI32" s="50">
        <v>0</v>
      </c>
      <c r="AJ32" s="50">
        <v>0</v>
      </c>
      <c r="AK32" s="50">
        <v>0</v>
      </c>
      <c r="AL32" s="50">
        <v>0</v>
      </c>
      <c r="AM32" s="50">
        <v>0</v>
      </c>
      <c r="AN32" s="50">
        <v>0</v>
      </c>
      <c r="AO32" s="50">
        <v>0</v>
      </c>
      <c r="AP32" s="50">
        <v>0</v>
      </c>
      <c r="AQ32" s="50">
        <v>0</v>
      </c>
      <c r="AR32" s="50">
        <v>0</v>
      </c>
      <c r="AT32" s="50">
        <v>39990</v>
      </c>
      <c r="AU32" s="50">
        <v>8300</v>
      </c>
      <c r="AV32" s="50">
        <v>189390</v>
      </c>
      <c r="AW32" s="50">
        <v>39990</v>
      </c>
      <c r="AX32" s="50">
        <v>8300</v>
      </c>
      <c r="AY32" s="50">
        <v>189390</v>
      </c>
      <c r="AZ32" s="50">
        <v>39990</v>
      </c>
      <c r="BA32" s="50">
        <v>8300</v>
      </c>
      <c r="BB32" s="50">
        <v>189390</v>
      </c>
      <c r="BC32" s="50">
        <v>112800</v>
      </c>
      <c r="BD32" s="50">
        <v>-0.5095438932127484</v>
      </c>
      <c r="BE32" s="50">
        <v>4700</v>
      </c>
      <c r="BF32" s="50">
        <v>112800</v>
      </c>
      <c r="BG32" s="50">
        <v>-0.5095438932127484</v>
      </c>
      <c r="BH32" s="50">
        <v>4700</v>
      </c>
      <c r="BI32" s="50">
        <v>112800</v>
      </c>
      <c r="BJ32" s="50">
        <v>-0.5095438932127484</v>
      </c>
      <c r="BK32" s="50">
        <v>9400</v>
      </c>
      <c r="BL32" s="50">
        <v>129600</v>
      </c>
      <c r="BM32" s="50">
        <v>-0.43649723901039178</v>
      </c>
      <c r="BN32" s="50">
        <v>129600</v>
      </c>
      <c r="BO32" s="50">
        <v>-0.43649723901039178</v>
      </c>
      <c r="BP32" s="50">
        <v>10800</v>
      </c>
      <c r="BQ32" s="50">
        <v>229990</v>
      </c>
      <c r="BR32" s="50" t="s">
        <v>987</v>
      </c>
      <c r="BS32" s="50" t="s">
        <v>988</v>
      </c>
    </row>
    <row r="33" spans="1:71" ht="15.75" customHeight="1" x14ac:dyDescent="0.2">
      <c r="A33" s="25" t="s">
        <v>464</v>
      </c>
      <c r="B33" s="26" t="s">
        <v>465</v>
      </c>
      <c r="C33" s="27" t="s">
        <v>401</v>
      </c>
      <c r="D33" s="50">
        <v>132000</v>
      </c>
      <c r="E33" s="30">
        <f>+(D33-$P33)/$P33</f>
        <v>-0.42606200269576938</v>
      </c>
      <c r="F33" s="50">
        <f t="shared" si="5"/>
        <v>5500</v>
      </c>
      <c r="G33" s="50">
        <v>132000</v>
      </c>
      <c r="H33" s="30">
        <f>+(G33-$P33)/$P33</f>
        <v>-0.42606200269576938</v>
      </c>
      <c r="I33" s="50">
        <f t="shared" si="6"/>
        <v>5500</v>
      </c>
      <c r="J33" s="50">
        <v>132000</v>
      </c>
      <c r="K33" s="30">
        <f>+(J33-$P33)/$P33</f>
        <v>-0.42606200269576938</v>
      </c>
      <c r="L33" s="50">
        <f t="shared" si="7"/>
        <v>11000</v>
      </c>
      <c r="M33" s="50">
        <v>144000</v>
      </c>
      <c r="N33" s="30">
        <f t="shared" si="8"/>
        <v>-0.3738858211226575</v>
      </c>
      <c r="O33" s="50">
        <f t="shared" si="9"/>
        <v>12000</v>
      </c>
      <c r="P33" s="50">
        <v>229990</v>
      </c>
      <c r="Q33" t="s">
        <v>767</v>
      </c>
      <c r="R33" t="e">
        <f>VLOOKUP(B33,#REF!,1,0)</f>
        <v>#REF!</v>
      </c>
      <c r="S33" s="50">
        <v>-10000</v>
      </c>
      <c r="T33" s="50">
        <v>600</v>
      </c>
      <c r="U33" s="50">
        <v>800</v>
      </c>
      <c r="V33" s="50">
        <v>-10000</v>
      </c>
      <c r="W33" s="50">
        <v>600</v>
      </c>
      <c r="X33" s="50">
        <v>800</v>
      </c>
      <c r="Y33" s="50">
        <v>-10000</v>
      </c>
      <c r="Z33" s="50">
        <v>600</v>
      </c>
      <c r="AA33" s="50">
        <v>800</v>
      </c>
      <c r="AB33" s="50">
        <v>-16800</v>
      </c>
      <c r="AC33" s="50">
        <v>-7.304665420235662E-2</v>
      </c>
      <c r="AD33" s="50">
        <v>-700</v>
      </c>
      <c r="AE33" s="50">
        <v>-16800</v>
      </c>
      <c r="AF33" s="50">
        <v>-7.304665420235662E-2</v>
      </c>
      <c r="AG33" s="50">
        <v>-700</v>
      </c>
      <c r="AH33" s="50">
        <v>-16800</v>
      </c>
      <c r="AI33" s="50">
        <v>-7.304665420235662E-2</v>
      </c>
      <c r="AJ33" s="50">
        <v>-1400</v>
      </c>
      <c r="AK33" s="50">
        <v>-24000</v>
      </c>
      <c r="AL33" s="50">
        <v>-0.10435236314622376</v>
      </c>
      <c r="AM33" s="50">
        <v>-24000</v>
      </c>
      <c r="AN33" s="50">
        <v>-0.10435236314622376</v>
      </c>
      <c r="AO33" s="50">
        <v>-2000</v>
      </c>
      <c r="AP33" s="50">
        <v>0</v>
      </c>
      <c r="AQ33" s="50">
        <v>0</v>
      </c>
      <c r="AR33" s="50">
        <v>0</v>
      </c>
      <c r="AT33" s="50">
        <v>59990</v>
      </c>
      <c r="AU33" s="50">
        <v>8400</v>
      </c>
      <c r="AV33" s="50">
        <v>211190</v>
      </c>
      <c r="AW33" s="50">
        <v>59990</v>
      </c>
      <c r="AX33" s="50">
        <v>8400</v>
      </c>
      <c r="AY33" s="50">
        <v>211190</v>
      </c>
      <c r="AZ33" s="50">
        <v>59990</v>
      </c>
      <c r="BA33" s="50">
        <v>8400</v>
      </c>
      <c r="BB33" s="50">
        <v>211190</v>
      </c>
      <c r="BC33" s="50">
        <v>148800</v>
      </c>
      <c r="BD33" s="50">
        <v>-0.35301534849341276</v>
      </c>
      <c r="BE33" s="50">
        <v>6200</v>
      </c>
      <c r="BF33" s="50">
        <v>148800</v>
      </c>
      <c r="BG33" s="50">
        <v>-0.35301534849341276</v>
      </c>
      <c r="BH33" s="50">
        <v>6200</v>
      </c>
      <c r="BI33" s="50">
        <v>148800</v>
      </c>
      <c r="BJ33" s="50">
        <v>-0.35301534849341276</v>
      </c>
      <c r="BK33" s="50">
        <v>12400</v>
      </c>
      <c r="BL33" s="50">
        <v>168000</v>
      </c>
      <c r="BM33" s="50">
        <v>-0.26953345797643374</v>
      </c>
      <c r="BN33" s="50">
        <v>168000</v>
      </c>
      <c r="BO33" s="50">
        <v>-0.26953345797643374</v>
      </c>
      <c r="BP33" s="50">
        <v>14000</v>
      </c>
      <c r="BQ33" s="50">
        <v>229990</v>
      </c>
      <c r="BR33" s="50" t="s">
        <v>987</v>
      </c>
      <c r="BS33" s="50" t="s">
        <v>988</v>
      </c>
    </row>
    <row r="34" spans="1:71" ht="15.75" customHeight="1" x14ac:dyDescent="0.2">
      <c r="A34" s="25" t="s">
        <v>466</v>
      </c>
      <c r="B34" s="26" t="s">
        <v>467</v>
      </c>
      <c r="C34" s="27" t="s">
        <v>401</v>
      </c>
      <c r="D34" s="50">
        <v>96000</v>
      </c>
      <c r="E34" s="30">
        <f>+(D34-$P34)/$P34</f>
        <v>-0.51997599879993994</v>
      </c>
      <c r="F34" s="50">
        <f t="shared" si="5"/>
        <v>4000</v>
      </c>
      <c r="G34" s="50">
        <v>96000</v>
      </c>
      <c r="H34" s="30">
        <f>+(G34-$P34)/$P34</f>
        <v>-0.51997599879993994</v>
      </c>
      <c r="I34" s="50">
        <f t="shared" si="6"/>
        <v>4000</v>
      </c>
      <c r="J34" s="50">
        <v>96000</v>
      </c>
      <c r="K34" s="30">
        <f>+(J34-$P34)/$P34</f>
        <v>-0.51997599879993994</v>
      </c>
      <c r="L34" s="50">
        <f t="shared" si="7"/>
        <v>8000</v>
      </c>
      <c r="M34" s="50">
        <v>112800</v>
      </c>
      <c r="N34" s="30">
        <f t="shared" si="8"/>
        <v>-0.43597179858992952</v>
      </c>
      <c r="O34" s="50">
        <f t="shared" si="9"/>
        <v>9400</v>
      </c>
      <c r="P34" s="50">
        <v>199990</v>
      </c>
      <c r="Q34" t="s">
        <v>813</v>
      </c>
      <c r="R34" t="e">
        <f>VLOOKUP(B34,#REF!,1,0)</f>
        <v>#REF!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0">
        <v>0</v>
      </c>
      <c r="AJ34" s="50">
        <v>0</v>
      </c>
      <c r="AK34" s="50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0">
        <v>0</v>
      </c>
      <c r="AR34" s="50">
        <v>0</v>
      </c>
      <c r="AT34" s="50">
        <v>29990</v>
      </c>
      <c r="AU34" s="50">
        <v>8400</v>
      </c>
      <c r="AV34" s="50">
        <v>181190</v>
      </c>
      <c r="AW34" s="50">
        <v>29990</v>
      </c>
      <c r="AX34" s="50">
        <v>8400</v>
      </c>
      <c r="AY34" s="50">
        <v>181190</v>
      </c>
      <c r="AZ34" s="50">
        <v>29990</v>
      </c>
      <c r="BA34" s="50">
        <v>8400</v>
      </c>
      <c r="BB34" s="50">
        <v>181190</v>
      </c>
      <c r="BC34" s="50">
        <v>96000</v>
      </c>
      <c r="BD34" s="50">
        <v>-0.51997599879993994</v>
      </c>
      <c r="BE34" s="50">
        <v>4000</v>
      </c>
      <c r="BF34" s="50">
        <v>96000</v>
      </c>
      <c r="BG34" s="50">
        <v>-0.51997599879993994</v>
      </c>
      <c r="BH34" s="50">
        <v>4000</v>
      </c>
      <c r="BI34" s="50">
        <v>96000</v>
      </c>
      <c r="BJ34" s="50">
        <v>-0.51997599879993994</v>
      </c>
      <c r="BK34" s="50">
        <v>8000</v>
      </c>
      <c r="BL34" s="50">
        <v>112800</v>
      </c>
      <c r="BM34" s="50">
        <v>-0.43597179858992952</v>
      </c>
      <c r="BN34" s="50">
        <v>112800</v>
      </c>
      <c r="BO34" s="50">
        <v>-0.43597179858992952</v>
      </c>
      <c r="BP34" s="50">
        <v>9400</v>
      </c>
      <c r="BQ34" s="50">
        <v>199990</v>
      </c>
      <c r="BR34" s="50" t="s">
        <v>987</v>
      </c>
      <c r="BS34" s="50" t="s">
        <v>988</v>
      </c>
    </row>
    <row r="35" spans="1:71" ht="15.75" customHeight="1" x14ac:dyDescent="0.2">
      <c r="A35" s="25" t="s">
        <v>468</v>
      </c>
      <c r="B35" s="26" t="s">
        <v>469</v>
      </c>
      <c r="C35" s="27" t="s">
        <v>401</v>
      </c>
      <c r="D35" s="50">
        <v>96000</v>
      </c>
      <c r="E35" s="30">
        <f>+(D35-$P35)/$P35</f>
        <v>-0.51997599879993994</v>
      </c>
      <c r="F35" s="50">
        <f t="shared" si="5"/>
        <v>4000</v>
      </c>
      <c r="G35" s="50">
        <v>96000</v>
      </c>
      <c r="H35" s="30">
        <f>+(G35-$P35)/$P35</f>
        <v>-0.51997599879993994</v>
      </c>
      <c r="I35" s="50">
        <f t="shared" si="6"/>
        <v>4000</v>
      </c>
      <c r="J35" s="50">
        <v>96000</v>
      </c>
      <c r="K35" s="30">
        <f>+(J35-$P35)/$P35</f>
        <v>-0.51997599879993994</v>
      </c>
      <c r="L35" s="50">
        <f t="shared" si="7"/>
        <v>8000</v>
      </c>
      <c r="M35" s="50">
        <v>112800</v>
      </c>
      <c r="N35" s="30">
        <f t="shared" si="8"/>
        <v>-0.43597179858992952</v>
      </c>
      <c r="O35" s="50">
        <f t="shared" si="9"/>
        <v>9400</v>
      </c>
      <c r="P35" s="50">
        <v>199990</v>
      </c>
      <c r="Q35" t="s">
        <v>813</v>
      </c>
      <c r="R35" t="e">
        <f>VLOOKUP(B35,#REF!,1,0)</f>
        <v>#REF!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50">
        <v>0</v>
      </c>
      <c r="AH35" s="50">
        <v>0</v>
      </c>
      <c r="AI35" s="50">
        <v>0</v>
      </c>
      <c r="AJ35" s="50">
        <v>0</v>
      </c>
      <c r="AK35" s="50">
        <v>0</v>
      </c>
      <c r="AL35" s="50">
        <v>0</v>
      </c>
      <c r="AM35" s="50">
        <v>0</v>
      </c>
      <c r="AN35" s="50">
        <v>0</v>
      </c>
      <c r="AO35" s="50">
        <v>0</v>
      </c>
      <c r="AP35" s="50">
        <v>0</v>
      </c>
      <c r="AQ35" s="50">
        <v>0</v>
      </c>
      <c r="AR35" s="50">
        <v>0</v>
      </c>
      <c r="AT35" s="50">
        <v>29990</v>
      </c>
      <c r="AU35" s="50">
        <v>8400</v>
      </c>
      <c r="AV35" s="50">
        <v>181190</v>
      </c>
      <c r="AW35" s="50">
        <v>29990</v>
      </c>
      <c r="AX35" s="50">
        <v>8400</v>
      </c>
      <c r="AY35" s="50">
        <v>181190</v>
      </c>
      <c r="AZ35" s="50">
        <v>29990</v>
      </c>
      <c r="BA35" s="50">
        <v>8400</v>
      </c>
      <c r="BB35" s="50">
        <v>181190</v>
      </c>
      <c r="BC35" s="50">
        <v>96000</v>
      </c>
      <c r="BD35" s="50">
        <v>-0.51997599879993994</v>
      </c>
      <c r="BE35" s="50">
        <v>4000</v>
      </c>
      <c r="BF35" s="50">
        <v>96000</v>
      </c>
      <c r="BG35" s="50">
        <v>-0.51997599879993994</v>
      </c>
      <c r="BH35" s="50">
        <v>4000</v>
      </c>
      <c r="BI35" s="50">
        <v>96000</v>
      </c>
      <c r="BJ35" s="50">
        <v>-0.51997599879993994</v>
      </c>
      <c r="BK35" s="50">
        <v>8000</v>
      </c>
      <c r="BL35" s="50">
        <v>112800</v>
      </c>
      <c r="BM35" s="50">
        <v>-0.43597179858992952</v>
      </c>
      <c r="BN35" s="50">
        <v>112800</v>
      </c>
      <c r="BO35" s="50">
        <v>-0.43597179858992952</v>
      </c>
      <c r="BP35" s="50">
        <v>9400</v>
      </c>
      <c r="BQ35" s="50">
        <v>199990</v>
      </c>
      <c r="BR35" s="50" t="s">
        <v>987</v>
      </c>
      <c r="BS35" s="50" t="s">
        <v>988</v>
      </c>
    </row>
    <row r="36" spans="1:71" ht="15.75" customHeight="1" x14ac:dyDescent="0.2">
      <c r="A36" s="25" t="s">
        <v>470</v>
      </c>
      <c r="B36" s="26" t="s">
        <v>471</v>
      </c>
      <c r="C36" s="27" t="s">
        <v>401</v>
      </c>
      <c r="D36" s="50">
        <v>158400</v>
      </c>
      <c r="E36" s="30">
        <f>+(D36-$P36)/$P36</f>
        <v>-0.31127440323492328</v>
      </c>
      <c r="F36" s="50">
        <f t="shared" si="5"/>
        <v>6600</v>
      </c>
      <c r="G36" s="50">
        <v>158400</v>
      </c>
      <c r="H36" s="30">
        <f>+(G36-$P36)/$P36</f>
        <v>-0.31127440323492328</v>
      </c>
      <c r="I36" s="50">
        <f t="shared" si="6"/>
        <v>6600</v>
      </c>
      <c r="J36" s="50">
        <v>158400</v>
      </c>
      <c r="K36" s="30">
        <f>+(J36-$P36)/$P36</f>
        <v>-0.31127440323492328</v>
      </c>
      <c r="L36" s="50">
        <f t="shared" si="7"/>
        <v>13200</v>
      </c>
      <c r="M36" s="50">
        <v>182400</v>
      </c>
      <c r="N36" s="30">
        <f t="shared" si="8"/>
        <v>-0.20692204008869952</v>
      </c>
      <c r="O36" s="50">
        <f t="shared" si="9"/>
        <v>15200</v>
      </c>
      <c r="P36" s="50">
        <v>229990</v>
      </c>
      <c r="Q36" t="s">
        <v>769</v>
      </c>
      <c r="R36" t="e">
        <f>VLOOKUP(B36,#REF!,1,0)</f>
        <v>#REF!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0</v>
      </c>
      <c r="Y36" s="50">
        <v>0</v>
      </c>
      <c r="Z36" s="50">
        <v>0</v>
      </c>
      <c r="AA36" s="50">
        <v>0</v>
      </c>
      <c r="AB36" s="50">
        <v>0</v>
      </c>
      <c r="AC36" s="50">
        <v>0</v>
      </c>
      <c r="AD36" s="50">
        <v>0</v>
      </c>
      <c r="AE36" s="50">
        <v>0</v>
      </c>
      <c r="AF36" s="50">
        <v>0</v>
      </c>
      <c r="AG36" s="50">
        <v>0</v>
      </c>
      <c r="AH36" s="50">
        <v>0</v>
      </c>
      <c r="AI36" s="50">
        <v>0</v>
      </c>
      <c r="AJ36" s="50">
        <v>0</v>
      </c>
      <c r="AK36" s="50">
        <v>0</v>
      </c>
      <c r="AL36" s="50">
        <v>0</v>
      </c>
      <c r="AM36" s="50">
        <v>0</v>
      </c>
      <c r="AN36" s="50">
        <v>0</v>
      </c>
      <c r="AO36" s="50">
        <v>0</v>
      </c>
      <c r="AP36" s="50">
        <v>0</v>
      </c>
      <c r="AQ36" s="50">
        <v>0</v>
      </c>
      <c r="AR36" s="50">
        <v>0</v>
      </c>
      <c r="AT36" s="50">
        <v>59990</v>
      </c>
      <c r="AU36" s="50">
        <v>11200</v>
      </c>
      <c r="AV36" s="50">
        <v>261590</v>
      </c>
      <c r="AW36" s="50">
        <v>59990</v>
      </c>
      <c r="AX36" s="50">
        <v>11200</v>
      </c>
      <c r="AY36" s="50">
        <v>261590</v>
      </c>
      <c r="AZ36" s="50">
        <v>59990</v>
      </c>
      <c r="BA36" s="50">
        <v>11200</v>
      </c>
      <c r="BB36" s="50">
        <v>261590</v>
      </c>
      <c r="BC36" s="50">
        <v>158400</v>
      </c>
      <c r="BD36" s="50">
        <v>-0.31127440323492328</v>
      </c>
      <c r="BE36" s="50">
        <v>6600</v>
      </c>
      <c r="BF36" s="50">
        <v>158400</v>
      </c>
      <c r="BG36" s="50">
        <v>-0.31127440323492328</v>
      </c>
      <c r="BH36" s="50">
        <v>6600</v>
      </c>
      <c r="BI36" s="50">
        <v>158400</v>
      </c>
      <c r="BJ36" s="50">
        <v>-0.31127440323492328</v>
      </c>
      <c r="BK36" s="50">
        <v>13200</v>
      </c>
      <c r="BL36" s="50">
        <v>182400</v>
      </c>
      <c r="BM36" s="50">
        <v>-0.20692204008869952</v>
      </c>
      <c r="BN36" s="50">
        <v>182400</v>
      </c>
      <c r="BO36" s="50">
        <v>-0.20692204008869952</v>
      </c>
      <c r="BP36" s="50">
        <v>15200</v>
      </c>
      <c r="BQ36" s="50">
        <v>229990</v>
      </c>
      <c r="BR36" s="50" t="s">
        <v>987</v>
      </c>
      <c r="BS36" s="50" t="s">
        <v>988</v>
      </c>
    </row>
    <row r="37" spans="1:71" ht="15.75" customHeight="1" x14ac:dyDescent="0.2">
      <c r="A37" s="25" t="s">
        <v>472</v>
      </c>
      <c r="B37" s="26" t="s">
        <v>473</v>
      </c>
      <c r="C37" s="27" t="s">
        <v>44</v>
      </c>
      <c r="D37" s="50">
        <v>132000</v>
      </c>
      <c r="E37" s="30">
        <f>+(D37-$P37)/$P37</f>
        <v>-0.42606200269576938</v>
      </c>
      <c r="F37" s="50">
        <f t="shared" si="5"/>
        <v>5500</v>
      </c>
      <c r="G37" s="50">
        <v>132000</v>
      </c>
      <c r="H37" s="30">
        <f>+(G37-$P37)/$P37</f>
        <v>-0.42606200269576938</v>
      </c>
      <c r="I37" s="50">
        <f t="shared" si="6"/>
        <v>5500</v>
      </c>
      <c r="J37" s="50">
        <v>132000</v>
      </c>
      <c r="K37" s="30">
        <f>+(J37-$P37)/$P37</f>
        <v>-0.42606200269576938</v>
      </c>
      <c r="L37" s="50">
        <f t="shared" si="7"/>
        <v>11000</v>
      </c>
      <c r="M37" s="50">
        <v>144000</v>
      </c>
      <c r="N37" s="30">
        <f t="shared" si="8"/>
        <v>-0.3738858211226575</v>
      </c>
      <c r="O37" s="50">
        <f t="shared" si="9"/>
        <v>12000</v>
      </c>
      <c r="P37" s="50">
        <v>229990</v>
      </c>
      <c r="Q37" t="s">
        <v>770</v>
      </c>
      <c r="R37" t="e">
        <f>VLOOKUP(B37,#REF!,1,0)</f>
        <v>#REF!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0">
        <v>0</v>
      </c>
      <c r="AL37" s="50">
        <v>0</v>
      </c>
      <c r="AM37" s="50">
        <v>0</v>
      </c>
      <c r="AN37" s="50">
        <v>0</v>
      </c>
      <c r="AO37" s="50">
        <v>0</v>
      </c>
      <c r="AP37" s="50">
        <v>0</v>
      </c>
      <c r="AQ37" s="50">
        <v>0</v>
      </c>
      <c r="AR37" s="50">
        <v>0</v>
      </c>
      <c r="AT37" s="50">
        <v>99990</v>
      </c>
      <c r="AU37" s="50">
        <v>11000</v>
      </c>
      <c r="AV37" s="50">
        <v>297990</v>
      </c>
      <c r="AW37" s="50">
        <v>99990</v>
      </c>
      <c r="AX37" s="50">
        <v>11000</v>
      </c>
      <c r="AY37" s="50">
        <v>297990</v>
      </c>
      <c r="AZ37" s="50">
        <v>99990</v>
      </c>
      <c r="BA37" s="50">
        <v>11000</v>
      </c>
      <c r="BB37" s="50">
        <v>297990</v>
      </c>
      <c r="BC37" s="50">
        <v>132000</v>
      </c>
      <c r="BD37" s="50">
        <v>-0.42606200269576938</v>
      </c>
      <c r="BE37" s="50">
        <v>5500</v>
      </c>
      <c r="BF37" s="50">
        <v>132000</v>
      </c>
      <c r="BG37" s="50">
        <v>-0.42606200269576938</v>
      </c>
      <c r="BH37" s="50">
        <v>5500</v>
      </c>
      <c r="BI37" s="50">
        <v>132000</v>
      </c>
      <c r="BJ37" s="50">
        <v>-0.42606200269576938</v>
      </c>
      <c r="BK37" s="50">
        <v>11000</v>
      </c>
      <c r="BL37" s="50">
        <v>144000</v>
      </c>
      <c r="BM37" s="50">
        <v>-0.3738858211226575</v>
      </c>
      <c r="BN37" s="50">
        <v>144000</v>
      </c>
      <c r="BO37" s="50">
        <v>-0.3738858211226575</v>
      </c>
      <c r="BP37" s="50">
        <v>12000</v>
      </c>
      <c r="BQ37" s="50">
        <v>229990</v>
      </c>
      <c r="BR37" s="50" t="s">
        <v>987</v>
      </c>
      <c r="BS37" s="50" t="s">
        <v>988</v>
      </c>
    </row>
    <row r="38" spans="1:71" ht="15.75" customHeight="1" x14ac:dyDescent="0.2">
      <c r="A38" s="25" t="s">
        <v>474</v>
      </c>
      <c r="B38" s="26" t="s">
        <v>475</v>
      </c>
      <c r="C38" s="27" t="s">
        <v>401</v>
      </c>
      <c r="D38" s="50">
        <v>124800</v>
      </c>
      <c r="E38" s="30">
        <f>+(D38-$P38)/$P38</f>
        <v>-0.50078003120124803</v>
      </c>
      <c r="F38" s="50">
        <f t="shared" si="5"/>
        <v>5200</v>
      </c>
      <c r="G38" s="50">
        <v>124800</v>
      </c>
      <c r="H38" s="30">
        <f>+(G38-$P38)/$P38</f>
        <v>-0.50078003120124803</v>
      </c>
      <c r="I38" s="50">
        <f t="shared" si="6"/>
        <v>5200</v>
      </c>
      <c r="J38" s="50">
        <v>124800</v>
      </c>
      <c r="K38" s="30">
        <f>+(J38-$P38)/$P38</f>
        <v>-0.50078003120124803</v>
      </c>
      <c r="L38" s="50">
        <f t="shared" si="7"/>
        <v>10400</v>
      </c>
      <c r="M38" s="50">
        <v>136800</v>
      </c>
      <c r="N38" s="30">
        <f t="shared" si="8"/>
        <v>-0.45277811112444499</v>
      </c>
      <c r="O38" s="50">
        <f t="shared" si="9"/>
        <v>11400</v>
      </c>
      <c r="P38" s="50">
        <v>249990</v>
      </c>
      <c r="Q38" t="s">
        <v>771</v>
      </c>
      <c r="R38" t="e">
        <f>VLOOKUP(B38,#REF!,1,0)</f>
        <v>#REF!</v>
      </c>
      <c r="S38" s="50">
        <v>-10000</v>
      </c>
      <c r="T38" s="50">
        <v>1700</v>
      </c>
      <c r="U38" s="50">
        <v>20600</v>
      </c>
      <c r="V38" s="50">
        <v>-10000</v>
      </c>
      <c r="W38" s="50">
        <v>1700</v>
      </c>
      <c r="X38" s="50">
        <v>20600</v>
      </c>
      <c r="Y38" s="50">
        <v>-10000</v>
      </c>
      <c r="Z38" s="50">
        <v>1700</v>
      </c>
      <c r="AA38" s="50">
        <v>20600</v>
      </c>
      <c r="AB38" s="50">
        <v>0</v>
      </c>
      <c r="AC38" s="50">
        <v>0</v>
      </c>
      <c r="AD38" s="50">
        <v>0</v>
      </c>
      <c r="AE38" s="50">
        <v>0</v>
      </c>
      <c r="AF38" s="50">
        <v>0</v>
      </c>
      <c r="AG38" s="50">
        <v>0</v>
      </c>
      <c r="AH38" s="50">
        <v>0</v>
      </c>
      <c r="AI38" s="50">
        <v>0</v>
      </c>
      <c r="AJ38" s="50">
        <v>0</v>
      </c>
      <c r="AK38" s="50">
        <v>-4800</v>
      </c>
      <c r="AL38" s="50">
        <v>-1.9200768030721238E-2</v>
      </c>
      <c r="AM38" s="50">
        <v>-4800</v>
      </c>
      <c r="AN38" s="50">
        <v>-1.9200768030721238E-2</v>
      </c>
      <c r="AO38" s="50">
        <v>-400</v>
      </c>
      <c r="AP38" s="50">
        <v>0</v>
      </c>
      <c r="AQ38" s="50">
        <v>0</v>
      </c>
      <c r="AR38" s="50">
        <v>0</v>
      </c>
      <c r="AT38" s="50">
        <v>49990</v>
      </c>
      <c r="AU38" s="50">
        <v>8300</v>
      </c>
      <c r="AV38" s="50">
        <v>199390</v>
      </c>
      <c r="AW38" s="50">
        <v>49990</v>
      </c>
      <c r="AX38" s="50">
        <v>8300</v>
      </c>
      <c r="AY38" s="50">
        <v>199390</v>
      </c>
      <c r="AZ38" s="50">
        <v>49990</v>
      </c>
      <c r="BA38" s="50">
        <v>8300</v>
      </c>
      <c r="BB38" s="50">
        <v>199390</v>
      </c>
      <c r="BC38" s="50">
        <v>124800</v>
      </c>
      <c r="BD38" s="50">
        <v>-0.50078003120124803</v>
      </c>
      <c r="BE38" s="50">
        <v>5200</v>
      </c>
      <c r="BF38" s="50">
        <v>124800</v>
      </c>
      <c r="BG38" s="50">
        <v>-0.50078003120124803</v>
      </c>
      <c r="BH38" s="50">
        <v>5200</v>
      </c>
      <c r="BI38" s="50">
        <v>124800</v>
      </c>
      <c r="BJ38" s="50">
        <v>-0.50078003120124803</v>
      </c>
      <c r="BK38" s="50">
        <v>10400</v>
      </c>
      <c r="BL38" s="50">
        <v>141600</v>
      </c>
      <c r="BM38" s="50">
        <v>-0.43357734309372375</v>
      </c>
      <c r="BN38" s="50">
        <v>141600</v>
      </c>
      <c r="BO38" s="50">
        <v>-0.43357734309372375</v>
      </c>
      <c r="BP38" s="50">
        <v>11800</v>
      </c>
      <c r="BQ38" s="50">
        <v>249990</v>
      </c>
      <c r="BR38" s="50" t="s">
        <v>987</v>
      </c>
      <c r="BS38" s="50" t="s">
        <v>988</v>
      </c>
    </row>
    <row r="39" spans="1:71" ht="15.75" customHeight="1" x14ac:dyDescent="0.2">
      <c r="A39" s="25" t="s">
        <v>476</v>
      </c>
      <c r="B39" s="26" t="s">
        <v>477</v>
      </c>
      <c r="C39" s="27" t="s">
        <v>401</v>
      </c>
      <c r="D39" s="50">
        <v>124800</v>
      </c>
      <c r="E39" s="30">
        <f>+(D39-$P39)/$P39</f>
        <v>-0.50078003120124803</v>
      </c>
      <c r="F39" s="50">
        <f t="shared" si="5"/>
        <v>5200</v>
      </c>
      <c r="G39" s="50">
        <v>124800</v>
      </c>
      <c r="H39" s="30">
        <f>+(G39-$P39)/$P39</f>
        <v>-0.50078003120124803</v>
      </c>
      <c r="I39" s="50">
        <f t="shared" si="6"/>
        <v>5200</v>
      </c>
      <c r="J39" s="50">
        <v>124800</v>
      </c>
      <c r="K39" s="30">
        <f>+(J39-$P39)/$P39</f>
        <v>-0.50078003120124803</v>
      </c>
      <c r="L39" s="50">
        <f t="shared" si="7"/>
        <v>10400</v>
      </c>
      <c r="M39" s="50">
        <v>136800</v>
      </c>
      <c r="N39" s="30">
        <f t="shared" si="8"/>
        <v>-0.45277811112444499</v>
      </c>
      <c r="O39" s="50">
        <f t="shared" si="9"/>
        <v>11400</v>
      </c>
      <c r="P39" s="50">
        <v>249990</v>
      </c>
      <c r="Q39" t="s">
        <v>771</v>
      </c>
      <c r="R39" t="e">
        <f>VLOOKUP(B39,#REF!,1,0)</f>
        <v>#REF!</v>
      </c>
      <c r="S39" s="50">
        <v>-10000</v>
      </c>
      <c r="T39" s="50">
        <v>1700</v>
      </c>
      <c r="U39" s="50">
        <v>20600</v>
      </c>
      <c r="V39" s="50">
        <v>-10000</v>
      </c>
      <c r="W39" s="50">
        <v>1700</v>
      </c>
      <c r="X39" s="50">
        <v>20600</v>
      </c>
      <c r="Y39" s="50">
        <v>-10000</v>
      </c>
      <c r="Z39" s="50">
        <v>1700</v>
      </c>
      <c r="AA39" s="50">
        <v>20600</v>
      </c>
      <c r="AB39" s="50">
        <v>0</v>
      </c>
      <c r="AC39" s="50">
        <v>0</v>
      </c>
      <c r="AD39" s="50">
        <v>0</v>
      </c>
      <c r="AE39" s="50">
        <v>0</v>
      </c>
      <c r="AF39" s="50">
        <v>0</v>
      </c>
      <c r="AG39" s="50">
        <v>0</v>
      </c>
      <c r="AH39" s="50">
        <v>0</v>
      </c>
      <c r="AI39" s="50">
        <v>0</v>
      </c>
      <c r="AJ39" s="50">
        <v>0</v>
      </c>
      <c r="AK39" s="50">
        <v>-4800</v>
      </c>
      <c r="AL39" s="50">
        <v>-1.9200768030721238E-2</v>
      </c>
      <c r="AM39" s="50">
        <v>-4800</v>
      </c>
      <c r="AN39" s="50">
        <v>-1.9200768030721238E-2</v>
      </c>
      <c r="AO39" s="50">
        <v>-400</v>
      </c>
      <c r="AP39" s="50">
        <v>0</v>
      </c>
      <c r="AQ39" s="50">
        <v>0</v>
      </c>
      <c r="AR39" s="50">
        <v>0</v>
      </c>
      <c r="AT39" s="50">
        <v>49990</v>
      </c>
      <c r="AU39" s="50">
        <v>8300</v>
      </c>
      <c r="AV39" s="50">
        <v>199390</v>
      </c>
      <c r="AW39" s="50">
        <v>49990</v>
      </c>
      <c r="AX39" s="50">
        <v>8300</v>
      </c>
      <c r="AY39" s="50">
        <v>199390</v>
      </c>
      <c r="AZ39" s="50">
        <v>49990</v>
      </c>
      <c r="BA39" s="50">
        <v>8300</v>
      </c>
      <c r="BB39" s="50">
        <v>199390</v>
      </c>
      <c r="BC39" s="50">
        <v>124800</v>
      </c>
      <c r="BD39" s="50">
        <v>-0.50078003120124803</v>
      </c>
      <c r="BE39" s="50">
        <v>5200</v>
      </c>
      <c r="BF39" s="50">
        <v>124800</v>
      </c>
      <c r="BG39" s="50">
        <v>-0.50078003120124803</v>
      </c>
      <c r="BH39" s="50">
        <v>5200</v>
      </c>
      <c r="BI39" s="50">
        <v>124800</v>
      </c>
      <c r="BJ39" s="50">
        <v>-0.50078003120124803</v>
      </c>
      <c r="BK39" s="50">
        <v>10400</v>
      </c>
      <c r="BL39" s="50">
        <v>141600</v>
      </c>
      <c r="BM39" s="50">
        <v>-0.43357734309372375</v>
      </c>
      <c r="BN39" s="50">
        <v>141600</v>
      </c>
      <c r="BO39" s="50">
        <v>-0.43357734309372375</v>
      </c>
      <c r="BP39" s="50">
        <v>11800</v>
      </c>
      <c r="BQ39" s="50">
        <v>249990</v>
      </c>
      <c r="BR39" s="50" t="s">
        <v>987</v>
      </c>
      <c r="BS39" s="50" t="s">
        <v>988</v>
      </c>
    </row>
    <row r="40" spans="1:71" ht="15.75" customHeight="1" x14ac:dyDescent="0.2">
      <c r="A40" s="25" t="s">
        <v>478</v>
      </c>
      <c r="B40" s="26" t="s">
        <v>479</v>
      </c>
      <c r="C40" s="27" t="s">
        <v>401</v>
      </c>
      <c r="D40" s="50">
        <v>177600</v>
      </c>
      <c r="E40" s="30">
        <f>+(D40-$P40)/$P40</f>
        <v>-0.36569163184399445</v>
      </c>
      <c r="F40" s="50">
        <f t="shared" si="5"/>
        <v>7400</v>
      </c>
      <c r="G40" s="50">
        <v>177600</v>
      </c>
      <c r="H40" s="30">
        <f>+(G40-$P40)/$P40</f>
        <v>-0.36569163184399445</v>
      </c>
      <c r="I40" s="50">
        <f t="shared" si="6"/>
        <v>7400</v>
      </c>
      <c r="J40" s="50">
        <v>177600</v>
      </c>
      <c r="K40" s="30">
        <f>+(J40-$P40)/$P40</f>
        <v>-0.36569163184399445</v>
      </c>
      <c r="L40" s="50">
        <f t="shared" si="7"/>
        <v>14800</v>
      </c>
      <c r="M40" s="50">
        <v>201600</v>
      </c>
      <c r="N40" s="30">
        <f t="shared" si="8"/>
        <v>-0.27997428479588554</v>
      </c>
      <c r="O40" s="50">
        <f t="shared" si="9"/>
        <v>16800</v>
      </c>
      <c r="P40" s="50">
        <v>279990</v>
      </c>
      <c r="Q40" t="s">
        <v>814</v>
      </c>
      <c r="R40" t="e">
        <f>VLOOKUP(B40,#REF!,1,0)</f>
        <v>#REF!</v>
      </c>
      <c r="S40" s="50">
        <v>-20000</v>
      </c>
      <c r="T40" s="50">
        <v>1100</v>
      </c>
      <c r="U40" s="50">
        <v>-200</v>
      </c>
      <c r="V40" s="50">
        <v>-20000</v>
      </c>
      <c r="W40" s="50">
        <v>1100</v>
      </c>
      <c r="X40" s="50">
        <v>-200</v>
      </c>
      <c r="Y40" s="50">
        <v>-20000</v>
      </c>
      <c r="Z40" s="50">
        <v>1100</v>
      </c>
      <c r="AA40" s="50">
        <v>-200</v>
      </c>
      <c r="AB40" s="50">
        <v>-7200</v>
      </c>
      <c r="AC40" s="50">
        <v>-2.5715204114432677E-2</v>
      </c>
      <c r="AD40" s="50">
        <v>-300</v>
      </c>
      <c r="AE40" s="50">
        <v>-7200</v>
      </c>
      <c r="AF40" s="50">
        <v>-2.5715204114432677E-2</v>
      </c>
      <c r="AG40" s="50">
        <v>-300</v>
      </c>
      <c r="AH40" s="50">
        <v>-7200</v>
      </c>
      <c r="AI40" s="50">
        <v>-2.5715204114432677E-2</v>
      </c>
      <c r="AJ40" s="50">
        <v>-600</v>
      </c>
      <c r="AK40" s="50">
        <v>9600</v>
      </c>
      <c r="AL40" s="50">
        <v>3.4286938819243551E-2</v>
      </c>
      <c r="AM40" s="50">
        <v>9600</v>
      </c>
      <c r="AN40" s="50">
        <v>3.4286938819243551E-2</v>
      </c>
      <c r="AO40" s="50">
        <v>800</v>
      </c>
      <c r="AP40" s="50">
        <v>0</v>
      </c>
      <c r="AQ40" s="50">
        <v>0</v>
      </c>
      <c r="AR40" s="50">
        <v>0</v>
      </c>
      <c r="AT40" s="50">
        <v>99990</v>
      </c>
      <c r="AU40" s="50">
        <v>11200</v>
      </c>
      <c r="AV40" s="50">
        <v>301590</v>
      </c>
      <c r="AW40" s="50">
        <v>99990</v>
      </c>
      <c r="AX40" s="50">
        <v>11200</v>
      </c>
      <c r="AY40" s="50">
        <v>301590</v>
      </c>
      <c r="AZ40" s="50">
        <v>99990</v>
      </c>
      <c r="BA40" s="50">
        <v>11200</v>
      </c>
      <c r="BB40" s="50">
        <v>301590</v>
      </c>
      <c r="BC40" s="50">
        <v>184800</v>
      </c>
      <c r="BD40" s="50">
        <v>-0.33997642772956177</v>
      </c>
      <c r="BE40" s="50">
        <v>7700</v>
      </c>
      <c r="BF40" s="50">
        <v>184800</v>
      </c>
      <c r="BG40" s="50">
        <v>-0.33997642772956177</v>
      </c>
      <c r="BH40" s="50">
        <v>7700</v>
      </c>
      <c r="BI40" s="50">
        <v>184800</v>
      </c>
      <c r="BJ40" s="50">
        <v>-0.33997642772956177</v>
      </c>
      <c r="BK40" s="50">
        <v>15400</v>
      </c>
      <c r="BL40" s="50">
        <v>192000</v>
      </c>
      <c r="BM40" s="50">
        <v>-0.31426122361512909</v>
      </c>
      <c r="BN40" s="50">
        <v>192000</v>
      </c>
      <c r="BO40" s="50">
        <v>-0.31426122361512909</v>
      </c>
      <c r="BP40" s="50">
        <v>16000</v>
      </c>
      <c r="BQ40" s="50">
        <v>279990</v>
      </c>
      <c r="BR40" s="50" t="s">
        <v>987</v>
      </c>
      <c r="BS40" s="50" t="s">
        <v>988</v>
      </c>
    </row>
    <row r="41" spans="1:71" ht="15.75" customHeight="1" x14ac:dyDescent="0.2">
      <c r="A41" s="25" t="s">
        <v>480</v>
      </c>
      <c r="B41" s="26" t="s">
        <v>481</v>
      </c>
      <c r="C41" s="27" t="s">
        <v>401</v>
      </c>
      <c r="D41" s="50">
        <v>177600</v>
      </c>
      <c r="E41" s="30">
        <f>+(D41-$P41)/$P41</f>
        <v>-0.36569163184399445</v>
      </c>
      <c r="F41" s="50">
        <f t="shared" si="5"/>
        <v>7400</v>
      </c>
      <c r="G41" s="50">
        <v>177600</v>
      </c>
      <c r="H41" s="30">
        <f>+(G41-$P41)/$P41</f>
        <v>-0.36569163184399445</v>
      </c>
      <c r="I41" s="50">
        <f t="shared" si="6"/>
        <v>7400</v>
      </c>
      <c r="J41" s="50">
        <v>177600</v>
      </c>
      <c r="K41" s="30">
        <f>+(J41-$P41)/$P41</f>
        <v>-0.36569163184399445</v>
      </c>
      <c r="L41" s="50">
        <f t="shared" si="7"/>
        <v>14800</v>
      </c>
      <c r="M41" s="50">
        <v>201600</v>
      </c>
      <c r="N41" s="30">
        <f t="shared" si="8"/>
        <v>-0.27997428479588554</v>
      </c>
      <c r="O41" s="50">
        <f t="shared" si="9"/>
        <v>16800</v>
      </c>
      <c r="P41" s="50">
        <v>279990</v>
      </c>
      <c r="Q41" t="s">
        <v>814</v>
      </c>
      <c r="R41" t="e">
        <f>VLOOKUP(B41,#REF!,1,0)</f>
        <v>#REF!</v>
      </c>
      <c r="S41" s="50">
        <v>-20000</v>
      </c>
      <c r="T41" s="50">
        <v>1100</v>
      </c>
      <c r="U41" s="50">
        <v>-200</v>
      </c>
      <c r="V41" s="50">
        <v>-20000</v>
      </c>
      <c r="W41" s="50">
        <v>1100</v>
      </c>
      <c r="X41" s="50">
        <v>-200</v>
      </c>
      <c r="Y41" s="50">
        <v>-20000</v>
      </c>
      <c r="Z41" s="50">
        <v>1100</v>
      </c>
      <c r="AA41" s="50">
        <v>-200</v>
      </c>
      <c r="AB41" s="50">
        <v>-7200</v>
      </c>
      <c r="AC41" s="50">
        <v>-2.5715204114432677E-2</v>
      </c>
      <c r="AD41" s="50">
        <v>-300</v>
      </c>
      <c r="AE41" s="50">
        <v>-7200</v>
      </c>
      <c r="AF41" s="50">
        <v>-2.5715204114432677E-2</v>
      </c>
      <c r="AG41" s="50">
        <v>-300</v>
      </c>
      <c r="AH41" s="50">
        <v>-7200</v>
      </c>
      <c r="AI41" s="50">
        <v>-2.5715204114432677E-2</v>
      </c>
      <c r="AJ41" s="50">
        <v>-600</v>
      </c>
      <c r="AK41" s="50">
        <v>9600</v>
      </c>
      <c r="AL41" s="50">
        <v>3.4286938819243551E-2</v>
      </c>
      <c r="AM41" s="50">
        <v>9600</v>
      </c>
      <c r="AN41" s="50">
        <v>3.4286938819243551E-2</v>
      </c>
      <c r="AO41" s="50">
        <v>800</v>
      </c>
      <c r="AP41" s="50">
        <v>0</v>
      </c>
      <c r="AQ41" s="50">
        <v>0</v>
      </c>
      <c r="AR41" s="50">
        <v>0</v>
      </c>
      <c r="AT41" s="50">
        <v>99990</v>
      </c>
      <c r="AU41" s="50">
        <v>11200</v>
      </c>
      <c r="AV41" s="50">
        <v>301590</v>
      </c>
      <c r="AW41" s="50">
        <v>99990</v>
      </c>
      <c r="AX41" s="50">
        <v>11200</v>
      </c>
      <c r="AY41" s="50">
        <v>301590</v>
      </c>
      <c r="AZ41" s="50">
        <v>99990</v>
      </c>
      <c r="BA41" s="50">
        <v>11200</v>
      </c>
      <c r="BB41" s="50">
        <v>301590</v>
      </c>
      <c r="BC41" s="50">
        <v>184800</v>
      </c>
      <c r="BD41" s="50">
        <v>-0.33997642772956177</v>
      </c>
      <c r="BE41" s="50">
        <v>7700</v>
      </c>
      <c r="BF41" s="50">
        <v>184800</v>
      </c>
      <c r="BG41" s="50">
        <v>-0.33997642772956177</v>
      </c>
      <c r="BH41" s="50">
        <v>7700</v>
      </c>
      <c r="BI41" s="50">
        <v>184800</v>
      </c>
      <c r="BJ41" s="50">
        <v>-0.33997642772956177</v>
      </c>
      <c r="BK41" s="50">
        <v>15400</v>
      </c>
      <c r="BL41" s="50">
        <v>192000</v>
      </c>
      <c r="BM41" s="50">
        <v>-0.31426122361512909</v>
      </c>
      <c r="BN41" s="50">
        <v>192000</v>
      </c>
      <c r="BO41" s="50">
        <v>-0.31426122361512909</v>
      </c>
      <c r="BP41" s="50">
        <v>16000</v>
      </c>
      <c r="BQ41" s="50">
        <v>279990</v>
      </c>
      <c r="BR41" s="50" t="s">
        <v>987</v>
      </c>
      <c r="BS41" s="50" t="s">
        <v>988</v>
      </c>
    </row>
    <row r="42" spans="1:71" ht="15.75" customHeight="1" x14ac:dyDescent="0.2">
      <c r="A42" s="25" t="s">
        <v>482</v>
      </c>
      <c r="B42" s="26" t="s">
        <v>483</v>
      </c>
      <c r="C42" s="27" t="s">
        <v>401</v>
      </c>
      <c r="D42" s="50">
        <v>184800</v>
      </c>
      <c r="E42" s="30">
        <f>+(D42-$P42)/$P42</f>
        <v>-0.3839794659821994</v>
      </c>
      <c r="F42" s="50">
        <f t="shared" si="5"/>
        <v>7700</v>
      </c>
      <c r="G42" s="50">
        <v>184800</v>
      </c>
      <c r="H42" s="30">
        <f>+(G42-$P42)/$P42</f>
        <v>-0.3839794659821994</v>
      </c>
      <c r="I42" s="50">
        <f t="shared" si="6"/>
        <v>7700</v>
      </c>
      <c r="J42" s="50">
        <v>184800</v>
      </c>
      <c r="K42" s="30">
        <f>+(J42-$P42)/$P42</f>
        <v>-0.3839794659821994</v>
      </c>
      <c r="L42" s="50">
        <f t="shared" si="7"/>
        <v>15400</v>
      </c>
      <c r="M42" s="50">
        <v>208800</v>
      </c>
      <c r="N42" s="30">
        <f t="shared" si="8"/>
        <v>-0.30397679922664089</v>
      </c>
      <c r="O42" s="50">
        <f t="shared" si="9"/>
        <v>17400</v>
      </c>
      <c r="P42" s="50">
        <v>299990</v>
      </c>
      <c r="Q42" t="s">
        <v>772</v>
      </c>
      <c r="R42" t="e">
        <f>VLOOKUP(B42,#REF!,1,0)</f>
        <v>#REF!</v>
      </c>
      <c r="S42" s="50">
        <v>-30000</v>
      </c>
      <c r="T42" s="50">
        <v>1800</v>
      </c>
      <c r="U42" s="50">
        <v>2400</v>
      </c>
      <c r="V42" s="50">
        <v>-30000</v>
      </c>
      <c r="W42" s="50">
        <v>1800</v>
      </c>
      <c r="X42" s="50">
        <v>2400</v>
      </c>
      <c r="Y42" s="50">
        <v>-30000</v>
      </c>
      <c r="Z42" s="50">
        <v>1800</v>
      </c>
      <c r="AA42" s="50">
        <v>2400</v>
      </c>
      <c r="AB42" s="50">
        <v>-12000</v>
      </c>
      <c r="AC42" s="50">
        <v>-4.0001333377779225E-2</v>
      </c>
      <c r="AD42" s="50">
        <v>-500</v>
      </c>
      <c r="AE42" s="50">
        <v>-12000</v>
      </c>
      <c r="AF42" s="50">
        <v>-4.0001333377779225E-2</v>
      </c>
      <c r="AG42" s="50">
        <v>-500</v>
      </c>
      <c r="AH42" s="50">
        <v>-12000</v>
      </c>
      <c r="AI42" s="50">
        <v>-4.0001333377779225E-2</v>
      </c>
      <c r="AJ42" s="50">
        <v>-1000</v>
      </c>
      <c r="AK42" s="50">
        <v>-12000</v>
      </c>
      <c r="AL42" s="50">
        <v>-4.000133337777928E-2</v>
      </c>
      <c r="AM42" s="50">
        <v>-12000</v>
      </c>
      <c r="AN42" s="50">
        <v>-4.000133337777928E-2</v>
      </c>
      <c r="AO42" s="50">
        <v>-1000</v>
      </c>
      <c r="AP42" s="50">
        <v>0</v>
      </c>
      <c r="AQ42" s="50">
        <v>0</v>
      </c>
      <c r="AR42" s="50">
        <v>0</v>
      </c>
      <c r="AT42" s="50">
        <v>99990</v>
      </c>
      <c r="AU42" s="50">
        <v>11000</v>
      </c>
      <c r="AV42" s="50">
        <v>297990</v>
      </c>
      <c r="AW42" s="50">
        <v>99990</v>
      </c>
      <c r="AX42" s="50">
        <v>11000</v>
      </c>
      <c r="AY42" s="50">
        <v>297990</v>
      </c>
      <c r="AZ42" s="50">
        <v>99990</v>
      </c>
      <c r="BA42" s="50">
        <v>11000</v>
      </c>
      <c r="BB42" s="50">
        <v>297990</v>
      </c>
      <c r="BC42" s="50">
        <v>196800</v>
      </c>
      <c r="BD42" s="50">
        <v>-0.34397813260442017</v>
      </c>
      <c r="BE42" s="50">
        <v>8200</v>
      </c>
      <c r="BF42" s="50">
        <v>196800</v>
      </c>
      <c r="BG42" s="50">
        <v>-0.34397813260442017</v>
      </c>
      <c r="BH42" s="50">
        <v>8200</v>
      </c>
      <c r="BI42" s="50">
        <v>196800</v>
      </c>
      <c r="BJ42" s="50">
        <v>-0.34397813260442017</v>
      </c>
      <c r="BK42" s="50">
        <v>16400</v>
      </c>
      <c r="BL42" s="50">
        <v>220800</v>
      </c>
      <c r="BM42" s="50">
        <v>-0.26397546584886161</v>
      </c>
      <c r="BN42" s="50">
        <v>220800</v>
      </c>
      <c r="BO42" s="50">
        <v>-0.26397546584886161</v>
      </c>
      <c r="BP42" s="50">
        <v>18400</v>
      </c>
      <c r="BQ42" s="50">
        <v>299990</v>
      </c>
      <c r="BR42" s="50" t="s">
        <v>988</v>
      </c>
      <c r="BS42" s="50" t="s">
        <v>989</v>
      </c>
    </row>
    <row r="43" spans="1:71" ht="15.75" customHeight="1" x14ac:dyDescent="0.2">
      <c r="A43" s="25" t="s">
        <v>484</v>
      </c>
      <c r="B43" s="26" t="s">
        <v>485</v>
      </c>
      <c r="C43" s="27" t="s">
        <v>44</v>
      </c>
      <c r="D43" s="50">
        <v>132000</v>
      </c>
      <c r="E43" s="30">
        <f>+(D43-$P43)/$P43</f>
        <v>-0.5599853328444282</v>
      </c>
      <c r="F43" s="50">
        <f t="shared" si="5"/>
        <v>5500</v>
      </c>
      <c r="G43" s="50">
        <v>132000</v>
      </c>
      <c r="H43" s="30">
        <f>+(G43-$P43)/$P43</f>
        <v>-0.5599853328444282</v>
      </c>
      <c r="I43" s="50">
        <f t="shared" si="6"/>
        <v>5500</v>
      </c>
      <c r="J43" s="50">
        <v>132000</v>
      </c>
      <c r="K43" s="30">
        <f>+(J43-$P43)/$P43</f>
        <v>-0.5599853328444282</v>
      </c>
      <c r="L43" s="50">
        <f t="shared" si="7"/>
        <v>11000</v>
      </c>
      <c r="M43" s="50">
        <v>144000</v>
      </c>
      <c r="N43" s="30">
        <f t="shared" si="8"/>
        <v>-0.51998399946664886</v>
      </c>
      <c r="O43" s="50">
        <f t="shared" si="9"/>
        <v>12000</v>
      </c>
      <c r="P43" s="50">
        <v>299990</v>
      </c>
      <c r="Q43" t="s">
        <v>773</v>
      </c>
      <c r="R43" t="e">
        <f>VLOOKUP(B43,#REF!,1,0)</f>
        <v>#REF!</v>
      </c>
      <c r="S43" s="50">
        <v>-20000</v>
      </c>
      <c r="T43" s="50">
        <v>1100</v>
      </c>
      <c r="U43" s="50">
        <v>-200</v>
      </c>
      <c r="V43" s="50">
        <v>-20000</v>
      </c>
      <c r="W43" s="50">
        <v>1100</v>
      </c>
      <c r="X43" s="50">
        <v>-200</v>
      </c>
      <c r="Y43" s="50">
        <v>-20000</v>
      </c>
      <c r="Z43" s="50">
        <v>1100</v>
      </c>
      <c r="AA43" s="50">
        <v>-200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0">
        <v>0</v>
      </c>
      <c r="AJ43" s="50">
        <v>0</v>
      </c>
      <c r="AK43" s="50">
        <v>0</v>
      </c>
      <c r="AL43" s="50">
        <v>0</v>
      </c>
      <c r="AM43" s="50">
        <v>0</v>
      </c>
      <c r="AN43" s="50">
        <v>0</v>
      </c>
      <c r="AO43" s="50">
        <v>0</v>
      </c>
      <c r="AP43" s="50">
        <v>0</v>
      </c>
      <c r="AQ43" s="50">
        <v>0</v>
      </c>
      <c r="AR43" s="50">
        <v>0</v>
      </c>
      <c r="AT43" s="50">
        <v>99990</v>
      </c>
      <c r="AU43" s="50">
        <v>11100</v>
      </c>
      <c r="AV43" s="50">
        <v>299790</v>
      </c>
      <c r="AW43" s="50">
        <v>99990</v>
      </c>
      <c r="AX43" s="50">
        <v>11100</v>
      </c>
      <c r="AY43" s="50">
        <v>299790</v>
      </c>
      <c r="AZ43" s="50">
        <v>99990</v>
      </c>
      <c r="BA43" s="50">
        <v>11100</v>
      </c>
      <c r="BB43" s="50">
        <v>299790</v>
      </c>
      <c r="BC43" s="50">
        <v>132000</v>
      </c>
      <c r="BD43" s="50">
        <v>-0.5599853328444282</v>
      </c>
      <c r="BE43" s="50">
        <v>5500</v>
      </c>
      <c r="BF43" s="50">
        <v>132000</v>
      </c>
      <c r="BG43" s="50">
        <v>-0.5599853328444282</v>
      </c>
      <c r="BH43" s="50">
        <v>5500</v>
      </c>
      <c r="BI43" s="50">
        <v>132000</v>
      </c>
      <c r="BJ43" s="50">
        <v>-0.5599853328444282</v>
      </c>
      <c r="BK43" s="50">
        <v>11000</v>
      </c>
      <c r="BL43" s="50">
        <v>144000</v>
      </c>
      <c r="BM43" s="50">
        <v>-0.51998399946664886</v>
      </c>
      <c r="BN43" s="50">
        <v>144000</v>
      </c>
      <c r="BO43" s="50">
        <v>-0.51998399946664886</v>
      </c>
      <c r="BP43" s="50">
        <v>12000</v>
      </c>
      <c r="BQ43" s="50">
        <v>299990</v>
      </c>
      <c r="BR43" s="50" t="s">
        <v>988</v>
      </c>
      <c r="BS43" s="50" t="s">
        <v>989</v>
      </c>
    </row>
    <row r="44" spans="1:71" ht="15.75" customHeight="1" x14ac:dyDescent="0.2">
      <c r="A44" s="25" t="s">
        <v>486</v>
      </c>
      <c r="B44" s="26" t="s">
        <v>487</v>
      </c>
      <c r="C44" s="27" t="s">
        <v>44</v>
      </c>
      <c r="D44" s="50">
        <v>132000</v>
      </c>
      <c r="E44" s="30">
        <f>+(D44-$P44)/$P44</f>
        <v>-0.5599853328444282</v>
      </c>
      <c r="F44" s="50">
        <f t="shared" si="5"/>
        <v>5500</v>
      </c>
      <c r="G44" s="50">
        <v>132000</v>
      </c>
      <c r="H44" s="30">
        <f>+(G44-$P44)/$P44</f>
        <v>-0.5599853328444282</v>
      </c>
      <c r="I44" s="50">
        <f t="shared" si="6"/>
        <v>5500</v>
      </c>
      <c r="J44" s="50">
        <v>132000</v>
      </c>
      <c r="K44" s="30">
        <f>+(J44-$P44)/$P44</f>
        <v>-0.5599853328444282</v>
      </c>
      <c r="L44" s="50">
        <f t="shared" si="7"/>
        <v>11000</v>
      </c>
      <c r="M44" s="50">
        <v>144000</v>
      </c>
      <c r="N44" s="30">
        <f t="shared" si="8"/>
        <v>-0.51998399946664886</v>
      </c>
      <c r="O44" s="50">
        <f t="shared" si="9"/>
        <v>12000</v>
      </c>
      <c r="P44" s="50">
        <v>299990</v>
      </c>
      <c r="Q44" t="s">
        <v>773</v>
      </c>
      <c r="R44" t="e">
        <f>VLOOKUP(B44,#REF!,1,0)</f>
        <v>#REF!</v>
      </c>
      <c r="S44" s="50">
        <v>-20000</v>
      </c>
      <c r="T44" s="50">
        <v>1100</v>
      </c>
      <c r="U44" s="50">
        <v>-200</v>
      </c>
      <c r="V44" s="50">
        <v>-20000</v>
      </c>
      <c r="W44" s="50">
        <v>1100</v>
      </c>
      <c r="X44" s="50">
        <v>-200</v>
      </c>
      <c r="Y44" s="50">
        <v>-20000</v>
      </c>
      <c r="Z44" s="50">
        <v>1100</v>
      </c>
      <c r="AA44" s="50">
        <v>-200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50">
        <v>0</v>
      </c>
      <c r="AH44" s="50">
        <v>0</v>
      </c>
      <c r="AI44" s="50">
        <v>0</v>
      </c>
      <c r="AJ44" s="50">
        <v>0</v>
      </c>
      <c r="AK44" s="50">
        <v>0</v>
      </c>
      <c r="AL44" s="50">
        <v>0</v>
      </c>
      <c r="AM44" s="50">
        <v>0</v>
      </c>
      <c r="AN44" s="50">
        <v>0</v>
      </c>
      <c r="AO44" s="50">
        <v>0</v>
      </c>
      <c r="AP44" s="50">
        <v>0</v>
      </c>
      <c r="AQ44" s="50">
        <v>0</v>
      </c>
      <c r="AR44" s="50">
        <v>0</v>
      </c>
      <c r="AT44" s="50">
        <v>99990</v>
      </c>
      <c r="AU44" s="50">
        <v>11100</v>
      </c>
      <c r="AV44" s="50">
        <v>299790</v>
      </c>
      <c r="AW44" s="50">
        <v>99990</v>
      </c>
      <c r="AX44" s="50">
        <v>11100</v>
      </c>
      <c r="AY44" s="50">
        <v>299790</v>
      </c>
      <c r="AZ44" s="50">
        <v>99990</v>
      </c>
      <c r="BA44" s="50">
        <v>11100</v>
      </c>
      <c r="BB44" s="50">
        <v>299790</v>
      </c>
      <c r="BC44" s="50">
        <v>132000</v>
      </c>
      <c r="BD44" s="50">
        <v>-0.5599853328444282</v>
      </c>
      <c r="BE44" s="50">
        <v>5500</v>
      </c>
      <c r="BF44" s="50">
        <v>132000</v>
      </c>
      <c r="BG44" s="50">
        <v>-0.5599853328444282</v>
      </c>
      <c r="BH44" s="50">
        <v>5500</v>
      </c>
      <c r="BI44" s="50">
        <v>132000</v>
      </c>
      <c r="BJ44" s="50">
        <v>-0.5599853328444282</v>
      </c>
      <c r="BK44" s="50">
        <v>11000</v>
      </c>
      <c r="BL44" s="50">
        <v>144000</v>
      </c>
      <c r="BM44" s="50">
        <v>-0.51998399946664886</v>
      </c>
      <c r="BN44" s="50">
        <v>144000</v>
      </c>
      <c r="BO44" s="50">
        <v>-0.51998399946664886</v>
      </c>
      <c r="BP44" s="50">
        <v>12000</v>
      </c>
      <c r="BQ44" s="50">
        <v>299990</v>
      </c>
      <c r="BR44" s="50" t="s">
        <v>988</v>
      </c>
      <c r="BS44" s="50" t="s">
        <v>989</v>
      </c>
    </row>
    <row r="45" spans="1:71" ht="15.75" customHeight="1" x14ac:dyDescent="0.2">
      <c r="A45" s="25" t="s">
        <v>488</v>
      </c>
      <c r="B45" s="26" t="s">
        <v>489</v>
      </c>
      <c r="C45" s="27" t="s">
        <v>44</v>
      </c>
      <c r="D45" s="50">
        <v>132000</v>
      </c>
      <c r="E45" s="30">
        <f>+(D45-$P45)/$P45</f>
        <v>-0.5599853328444282</v>
      </c>
      <c r="F45" s="50">
        <f t="shared" si="5"/>
        <v>5500</v>
      </c>
      <c r="G45" s="50">
        <v>132000</v>
      </c>
      <c r="H45" s="30">
        <f>+(G45-$P45)/$P45</f>
        <v>-0.5599853328444282</v>
      </c>
      <c r="I45" s="50">
        <f t="shared" si="6"/>
        <v>5500</v>
      </c>
      <c r="J45" s="50">
        <v>132000</v>
      </c>
      <c r="K45" s="30">
        <f>+(J45-$P45)/$P45</f>
        <v>-0.5599853328444282</v>
      </c>
      <c r="L45" s="50">
        <f t="shared" si="7"/>
        <v>11000</v>
      </c>
      <c r="M45" s="50">
        <v>144000</v>
      </c>
      <c r="N45" s="30">
        <f t="shared" si="8"/>
        <v>-0.51998399946664886</v>
      </c>
      <c r="O45" s="50">
        <f t="shared" si="9"/>
        <v>12000</v>
      </c>
      <c r="P45" s="50">
        <v>299990</v>
      </c>
      <c r="Q45" t="s">
        <v>773</v>
      </c>
      <c r="R45" t="e">
        <f>VLOOKUP(B45,#REF!,1,0)</f>
        <v>#REF!</v>
      </c>
      <c r="S45" s="50">
        <v>-20000</v>
      </c>
      <c r="T45" s="50">
        <v>1100</v>
      </c>
      <c r="U45" s="50">
        <v>-200</v>
      </c>
      <c r="V45" s="50">
        <v>-20000</v>
      </c>
      <c r="W45" s="50">
        <v>1100</v>
      </c>
      <c r="X45" s="50">
        <v>-200</v>
      </c>
      <c r="Y45" s="50">
        <v>-20000</v>
      </c>
      <c r="Z45" s="50">
        <v>1100</v>
      </c>
      <c r="AA45" s="50">
        <v>-200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50">
        <v>0</v>
      </c>
      <c r="AH45" s="50">
        <v>0</v>
      </c>
      <c r="AI45" s="50">
        <v>0</v>
      </c>
      <c r="AJ45" s="50">
        <v>0</v>
      </c>
      <c r="AK45" s="50">
        <v>0</v>
      </c>
      <c r="AL45" s="50">
        <v>0</v>
      </c>
      <c r="AM45" s="50">
        <v>0</v>
      </c>
      <c r="AN45" s="50">
        <v>0</v>
      </c>
      <c r="AO45" s="50">
        <v>0</v>
      </c>
      <c r="AP45" s="50">
        <v>0</v>
      </c>
      <c r="AQ45" s="50">
        <v>0</v>
      </c>
      <c r="AR45" s="50">
        <v>0</v>
      </c>
      <c r="AT45" s="50">
        <v>99990</v>
      </c>
      <c r="AU45" s="50">
        <v>11100</v>
      </c>
      <c r="AV45" s="50">
        <v>299790</v>
      </c>
      <c r="AW45" s="50">
        <v>99990</v>
      </c>
      <c r="AX45" s="50">
        <v>11100</v>
      </c>
      <c r="AY45" s="50">
        <v>299790</v>
      </c>
      <c r="AZ45" s="50">
        <v>99990</v>
      </c>
      <c r="BA45" s="50">
        <v>11100</v>
      </c>
      <c r="BB45" s="50">
        <v>299790</v>
      </c>
      <c r="BC45" s="50">
        <v>132000</v>
      </c>
      <c r="BD45" s="50">
        <v>-0.5599853328444282</v>
      </c>
      <c r="BE45" s="50">
        <v>5500</v>
      </c>
      <c r="BF45" s="50">
        <v>132000</v>
      </c>
      <c r="BG45" s="50">
        <v>-0.5599853328444282</v>
      </c>
      <c r="BH45" s="50">
        <v>5500</v>
      </c>
      <c r="BI45" s="50">
        <v>132000</v>
      </c>
      <c r="BJ45" s="50">
        <v>-0.5599853328444282</v>
      </c>
      <c r="BK45" s="50">
        <v>11000</v>
      </c>
      <c r="BL45" s="50">
        <v>144000</v>
      </c>
      <c r="BM45" s="50">
        <v>-0.51998399946664886</v>
      </c>
      <c r="BN45" s="50">
        <v>144000</v>
      </c>
      <c r="BO45" s="50">
        <v>-0.51998399946664886</v>
      </c>
      <c r="BP45" s="50">
        <v>12000</v>
      </c>
      <c r="BQ45" s="50">
        <v>299990</v>
      </c>
      <c r="BR45" s="50" t="s">
        <v>988</v>
      </c>
      <c r="BS45" s="50" t="s">
        <v>989</v>
      </c>
    </row>
    <row r="46" spans="1:71" ht="15.75" customHeight="1" x14ac:dyDescent="0.2">
      <c r="A46" s="25" t="s">
        <v>490</v>
      </c>
      <c r="B46" s="26" t="s">
        <v>491</v>
      </c>
      <c r="C46" s="27" t="s">
        <v>401</v>
      </c>
      <c r="D46" s="50">
        <v>184800</v>
      </c>
      <c r="E46" s="30">
        <f>+(D46-$P46)/$P46</f>
        <v>-0.3839794659821994</v>
      </c>
      <c r="F46" s="50">
        <f t="shared" si="5"/>
        <v>7700</v>
      </c>
      <c r="G46" s="50">
        <v>184800</v>
      </c>
      <c r="H46" s="30">
        <f>+(G46-$P46)/$P46</f>
        <v>-0.3839794659821994</v>
      </c>
      <c r="I46" s="50">
        <f t="shared" si="6"/>
        <v>7700</v>
      </c>
      <c r="J46" s="50">
        <v>184800</v>
      </c>
      <c r="K46" s="30">
        <f>+(J46-$P46)/$P46</f>
        <v>-0.3839794659821994</v>
      </c>
      <c r="L46" s="50">
        <f t="shared" si="7"/>
        <v>15400</v>
      </c>
      <c r="M46" s="50">
        <v>208800</v>
      </c>
      <c r="N46" s="30">
        <f t="shared" si="8"/>
        <v>-0.30397679922664089</v>
      </c>
      <c r="O46" s="50">
        <f t="shared" si="9"/>
        <v>17400</v>
      </c>
      <c r="P46" s="50">
        <v>299990</v>
      </c>
      <c r="Q46" t="s">
        <v>772</v>
      </c>
      <c r="R46" t="e">
        <f>VLOOKUP(B46,#REF!,1,0)</f>
        <v>#REF!</v>
      </c>
      <c r="S46" s="50">
        <v>-30000</v>
      </c>
      <c r="T46" s="50">
        <v>1800</v>
      </c>
      <c r="U46" s="50">
        <v>2400</v>
      </c>
      <c r="V46" s="50">
        <v>-30000</v>
      </c>
      <c r="W46" s="50">
        <v>1800</v>
      </c>
      <c r="X46" s="50">
        <v>2400</v>
      </c>
      <c r="Y46" s="50">
        <v>-30000</v>
      </c>
      <c r="Z46" s="50">
        <v>1800</v>
      </c>
      <c r="AA46" s="50">
        <v>2400</v>
      </c>
      <c r="AB46" s="50">
        <v>-12000</v>
      </c>
      <c r="AC46" s="50">
        <v>-4.0001333377779225E-2</v>
      </c>
      <c r="AD46" s="50">
        <v>-500</v>
      </c>
      <c r="AE46" s="50">
        <v>-12000</v>
      </c>
      <c r="AF46" s="50">
        <v>-4.0001333377779225E-2</v>
      </c>
      <c r="AG46" s="50">
        <v>-500</v>
      </c>
      <c r="AH46" s="50">
        <v>-12000</v>
      </c>
      <c r="AI46" s="50">
        <v>-4.0001333377779225E-2</v>
      </c>
      <c r="AJ46" s="50">
        <v>-1000</v>
      </c>
      <c r="AK46" s="50">
        <v>-12000</v>
      </c>
      <c r="AL46" s="50">
        <v>-4.000133337777928E-2</v>
      </c>
      <c r="AM46" s="50">
        <v>-12000</v>
      </c>
      <c r="AN46" s="50">
        <v>-4.000133337777928E-2</v>
      </c>
      <c r="AO46" s="50">
        <v>-1000</v>
      </c>
      <c r="AP46" s="50">
        <v>0</v>
      </c>
      <c r="AQ46" s="50">
        <v>0</v>
      </c>
      <c r="AR46" s="50">
        <v>0</v>
      </c>
      <c r="AT46" s="50">
        <v>99990</v>
      </c>
      <c r="AU46" s="50">
        <v>11000</v>
      </c>
      <c r="AV46" s="50">
        <v>297990</v>
      </c>
      <c r="AW46" s="50">
        <v>99990</v>
      </c>
      <c r="AX46" s="50">
        <v>11000</v>
      </c>
      <c r="AY46" s="50">
        <v>297990</v>
      </c>
      <c r="AZ46" s="50">
        <v>99990</v>
      </c>
      <c r="BA46" s="50">
        <v>11000</v>
      </c>
      <c r="BB46" s="50">
        <v>297990</v>
      </c>
      <c r="BC46" s="50">
        <v>196800</v>
      </c>
      <c r="BD46" s="50">
        <v>-0.34397813260442017</v>
      </c>
      <c r="BE46" s="50">
        <v>8200</v>
      </c>
      <c r="BF46" s="50">
        <v>196800</v>
      </c>
      <c r="BG46" s="50">
        <v>-0.34397813260442017</v>
      </c>
      <c r="BH46" s="50">
        <v>8200</v>
      </c>
      <c r="BI46" s="50">
        <v>196800</v>
      </c>
      <c r="BJ46" s="50">
        <v>-0.34397813260442017</v>
      </c>
      <c r="BK46" s="50">
        <v>16400</v>
      </c>
      <c r="BL46" s="50">
        <v>220800</v>
      </c>
      <c r="BM46" s="50">
        <v>-0.26397546584886161</v>
      </c>
      <c r="BN46" s="50">
        <v>220800</v>
      </c>
      <c r="BO46" s="50">
        <v>-0.26397546584886161</v>
      </c>
      <c r="BP46" s="50">
        <v>18400</v>
      </c>
      <c r="BQ46" s="50">
        <v>299990</v>
      </c>
      <c r="BR46" s="50" t="s">
        <v>988</v>
      </c>
      <c r="BS46" s="50" t="s">
        <v>989</v>
      </c>
    </row>
    <row r="47" spans="1:71" ht="15.75" customHeight="1" x14ac:dyDescent="0.2">
      <c r="A47" s="25" t="s">
        <v>492</v>
      </c>
      <c r="B47" s="26" t="s">
        <v>493</v>
      </c>
      <c r="C47" s="27" t="s">
        <v>401</v>
      </c>
      <c r="D47" s="50">
        <v>194400</v>
      </c>
      <c r="E47" s="30">
        <f>+(D47-$P47)/$P47</f>
        <v>-0.35197839927997598</v>
      </c>
      <c r="F47" s="50">
        <f t="shared" si="5"/>
        <v>8100</v>
      </c>
      <c r="G47" s="50">
        <v>194400</v>
      </c>
      <c r="H47" s="30">
        <f>+(G47-$P47)/$P47</f>
        <v>-0.35197839927997598</v>
      </c>
      <c r="I47" s="50">
        <f t="shared" si="6"/>
        <v>8100</v>
      </c>
      <c r="J47" s="50">
        <v>194400</v>
      </c>
      <c r="K47" s="30">
        <f>+(J47-$P47)/$P47</f>
        <v>-0.35197839927997598</v>
      </c>
      <c r="L47" s="50">
        <f t="shared" si="7"/>
        <v>16200</v>
      </c>
      <c r="M47" s="50">
        <v>218400</v>
      </c>
      <c r="N47" s="30">
        <f t="shared" si="8"/>
        <v>-0.27197573252441748</v>
      </c>
      <c r="O47" s="50">
        <f t="shared" si="9"/>
        <v>18200</v>
      </c>
      <c r="P47" s="50">
        <v>299990</v>
      </c>
      <c r="Q47" t="s">
        <v>774</v>
      </c>
      <c r="R47" t="e">
        <f>VLOOKUP(B47,#REF!,1,0)</f>
        <v>#REF!</v>
      </c>
      <c r="S47" s="50">
        <v>-20000</v>
      </c>
      <c r="T47" s="50">
        <v>1100</v>
      </c>
      <c r="U47" s="50">
        <v>-200</v>
      </c>
      <c r="V47" s="50">
        <v>-20000</v>
      </c>
      <c r="W47" s="50">
        <v>1100</v>
      </c>
      <c r="X47" s="50">
        <v>-200</v>
      </c>
      <c r="Y47" s="50">
        <v>-20000</v>
      </c>
      <c r="Z47" s="50">
        <v>1100</v>
      </c>
      <c r="AA47" s="50">
        <v>-200</v>
      </c>
      <c r="AB47" s="50">
        <v>0</v>
      </c>
      <c r="AC47" s="50">
        <v>0</v>
      </c>
      <c r="AD47" s="50">
        <v>0</v>
      </c>
      <c r="AE47" s="50">
        <v>0</v>
      </c>
      <c r="AF47" s="50">
        <v>0</v>
      </c>
      <c r="AG47" s="50">
        <v>0</v>
      </c>
      <c r="AH47" s="50">
        <v>0</v>
      </c>
      <c r="AI47" s="50">
        <v>0</v>
      </c>
      <c r="AJ47" s="50">
        <v>0</v>
      </c>
      <c r="AK47" s="50">
        <v>-7200</v>
      </c>
      <c r="AL47" s="50">
        <v>-2.4000800026667546E-2</v>
      </c>
      <c r="AM47" s="50">
        <v>-7200</v>
      </c>
      <c r="AN47" s="50">
        <v>-2.4000800026667546E-2</v>
      </c>
      <c r="AO47" s="50">
        <v>-600</v>
      </c>
      <c r="AP47" s="50">
        <v>0</v>
      </c>
      <c r="AQ47" s="50">
        <v>0</v>
      </c>
      <c r="AR47" s="50">
        <v>0</v>
      </c>
      <c r="AT47" s="50">
        <v>99990</v>
      </c>
      <c r="AU47" s="50">
        <v>11200</v>
      </c>
      <c r="AV47" s="50">
        <v>301590</v>
      </c>
      <c r="AW47" s="50">
        <v>99990</v>
      </c>
      <c r="AX47" s="50">
        <v>11200</v>
      </c>
      <c r="AY47" s="50">
        <v>301590</v>
      </c>
      <c r="AZ47" s="50">
        <v>99990</v>
      </c>
      <c r="BA47" s="50">
        <v>11200</v>
      </c>
      <c r="BB47" s="50">
        <v>301590</v>
      </c>
      <c r="BC47" s="50">
        <v>194400</v>
      </c>
      <c r="BD47" s="50">
        <v>-0.35197839927997598</v>
      </c>
      <c r="BE47" s="50">
        <v>8100</v>
      </c>
      <c r="BF47" s="50">
        <v>194400</v>
      </c>
      <c r="BG47" s="50">
        <v>-0.35197839927997598</v>
      </c>
      <c r="BH47" s="50">
        <v>8100</v>
      </c>
      <c r="BI47" s="50">
        <v>194400</v>
      </c>
      <c r="BJ47" s="50">
        <v>-0.35197839927997598</v>
      </c>
      <c r="BK47" s="50">
        <v>16200</v>
      </c>
      <c r="BL47" s="50">
        <v>225600</v>
      </c>
      <c r="BM47" s="50">
        <v>-0.24797493249774993</v>
      </c>
      <c r="BN47" s="50">
        <v>225600</v>
      </c>
      <c r="BO47" s="50">
        <v>-0.24797493249774993</v>
      </c>
      <c r="BP47" s="50">
        <v>18800</v>
      </c>
      <c r="BQ47" s="50">
        <v>299990</v>
      </c>
      <c r="BR47" s="50" t="s">
        <v>988</v>
      </c>
      <c r="BS47" s="50" t="s">
        <v>989</v>
      </c>
    </row>
    <row r="48" spans="1:71" ht="15.75" customHeight="1" x14ac:dyDescent="0.2">
      <c r="A48" s="25" t="s">
        <v>494</v>
      </c>
      <c r="B48" s="26" t="s">
        <v>495</v>
      </c>
      <c r="C48" s="27" t="s">
        <v>401</v>
      </c>
      <c r="D48" s="50">
        <v>156000</v>
      </c>
      <c r="E48" s="30">
        <f>+(D48-$P48)/$P48</f>
        <v>-0.52725840176975058</v>
      </c>
      <c r="F48" s="50">
        <f t="shared" si="5"/>
        <v>6500</v>
      </c>
      <c r="G48" s="50">
        <v>156000</v>
      </c>
      <c r="H48" s="30">
        <f>+(G48-$P48)/$P48</f>
        <v>-0.52725840176975058</v>
      </c>
      <c r="I48" s="50">
        <f t="shared" si="6"/>
        <v>6500</v>
      </c>
      <c r="J48" s="50">
        <v>156000</v>
      </c>
      <c r="K48" s="30">
        <f>+(J48-$P48)/$P48</f>
        <v>-0.52725840176975058</v>
      </c>
      <c r="L48" s="50">
        <f t="shared" si="7"/>
        <v>13000</v>
      </c>
      <c r="M48" s="50">
        <v>180000</v>
      </c>
      <c r="N48" s="30">
        <f t="shared" si="8"/>
        <v>-0.45452892511894299</v>
      </c>
      <c r="O48" s="50">
        <f t="shared" si="9"/>
        <v>15000</v>
      </c>
      <c r="P48" s="50">
        <v>329990</v>
      </c>
      <c r="Q48" t="s">
        <v>821</v>
      </c>
      <c r="R48" t="e">
        <f>VLOOKUP(B48,#REF!,1,0)</f>
        <v>#REF!</v>
      </c>
      <c r="S48" s="50">
        <v>-10000</v>
      </c>
      <c r="T48" s="50">
        <v>600</v>
      </c>
      <c r="U48" s="50">
        <v>800</v>
      </c>
      <c r="V48" s="50">
        <v>-10000</v>
      </c>
      <c r="W48" s="50">
        <v>600</v>
      </c>
      <c r="X48" s="50">
        <v>800</v>
      </c>
      <c r="Y48" s="50">
        <v>-10000</v>
      </c>
      <c r="Z48" s="50">
        <v>600</v>
      </c>
      <c r="AA48" s="50">
        <v>800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50">
        <v>0</v>
      </c>
      <c r="AH48" s="50">
        <v>0</v>
      </c>
      <c r="AI48" s="50">
        <v>0</v>
      </c>
      <c r="AJ48" s="50">
        <v>0</v>
      </c>
      <c r="AK48" s="50">
        <v>-6000</v>
      </c>
      <c r="AL48" s="50">
        <v>-1.8182369162701884E-2</v>
      </c>
      <c r="AM48" s="50">
        <v>-6000</v>
      </c>
      <c r="AN48" s="50">
        <v>-1.8182369162701884E-2</v>
      </c>
      <c r="AO48" s="50">
        <v>-500</v>
      </c>
      <c r="AP48" s="50">
        <v>0</v>
      </c>
      <c r="AQ48" s="50">
        <v>0</v>
      </c>
      <c r="AR48" s="50">
        <v>0</v>
      </c>
      <c r="AT48" s="50">
        <v>79990</v>
      </c>
      <c r="AU48" s="50">
        <v>10000</v>
      </c>
      <c r="AV48" s="50">
        <v>259990</v>
      </c>
      <c r="AW48" s="50">
        <v>69990</v>
      </c>
      <c r="AX48" s="50">
        <v>10000</v>
      </c>
      <c r="AY48" s="50">
        <v>249990</v>
      </c>
      <c r="AZ48" s="50">
        <v>69990</v>
      </c>
      <c r="BA48" s="50">
        <v>10000</v>
      </c>
      <c r="BB48" s="50">
        <v>249990</v>
      </c>
      <c r="BC48" s="50">
        <v>156000</v>
      </c>
      <c r="BD48" s="50">
        <v>-0.52725840176975058</v>
      </c>
      <c r="BE48" s="50">
        <v>6500</v>
      </c>
      <c r="BF48" s="50">
        <v>156000</v>
      </c>
      <c r="BG48" s="50">
        <v>-0.52725840176975058</v>
      </c>
      <c r="BH48" s="50">
        <v>6500</v>
      </c>
      <c r="BI48" s="50">
        <v>156000</v>
      </c>
      <c r="BJ48" s="50">
        <v>-0.52725840176975058</v>
      </c>
      <c r="BK48" s="50">
        <v>13000</v>
      </c>
      <c r="BL48" s="50">
        <v>186000</v>
      </c>
      <c r="BM48" s="50">
        <v>-0.43634655595624111</v>
      </c>
      <c r="BN48" s="50">
        <v>186000</v>
      </c>
      <c r="BO48" s="50">
        <v>-0.43634655595624111</v>
      </c>
      <c r="BP48" s="50">
        <v>15500</v>
      </c>
      <c r="BQ48" s="50">
        <v>329990</v>
      </c>
      <c r="BR48" s="50" t="s">
        <v>988</v>
      </c>
      <c r="BS48" s="50" t="s">
        <v>989</v>
      </c>
    </row>
    <row r="49" spans="1:71" ht="15.75" customHeight="1" x14ac:dyDescent="0.2">
      <c r="A49" s="25" t="s">
        <v>496</v>
      </c>
      <c r="B49" s="26" t="s">
        <v>497</v>
      </c>
      <c r="C49" s="27" t="s">
        <v>44</v>
      </c>
      <c r="D49" s="50">
        <v>196800</v>
      </c>
      <c r="E49" s="30">
        <f>+(D49-$P49)/$P49</f>
        <v>-0.40361829146337769</v>
      </c>
      <c r="F49" s="50">
        <f t="shared" si="5"/>
        <v>8200</v>
      </c>
      <c r="G49" s="50">
        <v>196800</v>
      </c>
      <c r="H49" s="30">
        <f>+(G49-$P49)/$P49</f>
        <v>-0.40361829146337769</v>
      </c>
      <c r="I49" s="50">
        <f t="shared" si="6"/>
        <v>8200</v>
      </c>
      <c r="J49" s="50">
        <v>196800</v>
      </c>
      <c r="K49" s="30">
        <f>+(J49-$P49)/$P49</f>
        <v>-0.40361829146337769</v>
      </c>
      <c r="L49" s="50">
        <f t="shared" si="7"/>
        <v>16400</v>
      </c>
      <c r="M49" s="50">
        <v>220800</v>
      </c>
      <c r="N49" s="30">
        <f t="shared" si="8"/>
        <v>-0.3308888148125701</v>
      </c>
      <c r="O49" s="50">
        <f t="shared" si="9"/>
        <v>18400</v>
      </c>
      <c r="P49" s="50">
        <v>329990</v>
      </c>
      <c r="Q49" t="s">
        <v>775</v>
      </c>
      <c r="R49" t="e">
        <f>VLOOKUP(B49,#REF!,1,0)</f>
        <v>#REF!</v>
      </c>
      <c r="S49" s="50">
        <v>-20000</v>
      </c>
      <c r="T49" s="50">
        <v>1100</v>
      </c>
      <c r="U49" s="50">
        <v>-200</v>
      </c>
      <c r="V49" s="50">
        <v>-20000</v>
      </c>
      <c r="W49" s="50">
        <v>1100</v>
      </c>
      <c r="X49" s="50">
        <v>-200</v>
      </c>
      <c r="Y49" s="50">
        <v>-20000</v>
      </c>
      <c r="Z49" s="50">
        <v>1100</v>
      </c>
      <c r="AA49" s="50">
        <v>-200</v>
      </c>
      <c r="AB49" s="50">
        <v>-3200</v>
      </c>
      <c r="AC49" s="50">
        <v>-9.6972635534410268E-3</v>
      </c>
      <c r="AD49" s="50">
        <v>-133.33333333333394</v>
      </c>
      <c r="AE49" s="50">
        <v>-3200</v>
      </c>
      <c r="AF49" s="50">
        <v>-9.6972635534410268E-3</v>
      </c>
      <c r="AG49" s="50">
        <v>-133.33333333333394</v>
      </c>
      <c r="AH49" s="50">
        <v>-3200</v>
      </c>
      <c r="AI49" s="50">
        <v>-9.6972635534410268E-3</v>
      </c>
      <c r="AJ49" s="50">
        <v>-266.66666666666788</v>
      </c>
      <c r="AK49" s="50">
        <v>-3200</v>
      </c>
      <c r="AL49" s="50">
        <v>-9.6972635534410268E-3</v>
      </c>
      <c r="AM49" s="50">
        <v>-3200</v>
      </c>
      <c r="AN49" s="50">
        <v>-9.6972635534410268E-3</v>
      </c>
      <c r="AO49" s="50">
        <v>-266.66666666666788</v>
      </c>
      <c r="AP49" s="50">
        <v>0</v>
      </c>
      <c r="AQ49" s="50">
        <v>0</v>
      </c>
      <c r="AR49" s="50">
        <v>0</v>
      </c>
      <c r="AT49" s="50">
        <v>129990</v>
      </c>
      <c r="AU49" s="50">
        <v>14600</v>
      </c>
      <c r="AV49" s="50">
        <v>392790</v>
      </c>
      <c r="AW49" s="50">
        <v>129990</v>
      </c>
      <c r="AX49" s="50">
        <v>14600</v>
      </c>
      <c r="AY49" s="50">
        <v>392790</v>
      </c>
      <c r="AZ49" s="50">
        <v>129990</v>
      </c>
      <c r="BA49" s="50">
        <v>14600</v>
      </c>
      <c r="BB49" s="50">
        <v>392790</v>
      </c>
      <c r="BC49" s="50">
        <v>200000</v>
      </c>
      <c r="BD49" s="50">
        <v>-0.39392102790993666</v>
      </c>
      <c r="BE49" s="50">
        <v>8333.3333333333339</v>
      </c>
      <c r="BF49" s="50">
        <v>200000</v>
      </c>
      <c r="BG49" s="50">
        <v>-0.39392102790993666</v>
      </c>
      <c r="BH49" s="50">
        <v>8333.3333333333339</v>
      </c>
      <c r="BI49" s="50">
        <v>200000</v>
      </c>
      <c r="BJ49" s="50">
        <v>-0.39392102790993666</v>
      </c>
      <c r="BK49" s="50">
        <v>16666.666666666668</v>
      </c>
      <c r="BL49" s="50">
        <v>224000</v>
      </c>
      <c r="BM49" s="50">
        <v>-0.32119155125912907</v>
      </c>
      <c r="BN49" s="50">
        <v>224000</v>
      </c>
      <c r="BO49" s="50">
        <v>-0.32119155125912907</v>
      </c>
      <c r="BP49" s="50">
        <v>18666.666666666668</v>
      </c>
      <c r="BQ49" s="50">
        <v>329990</v>
      </c>
      <c r="BR49" s="50" t="s">
        <v>988</v>
      </c>
      <c r="BS49" s="50" t="s">
        <v>989</v>
      </c>
    </row>
    <row r="50" spans="1:71" ht="15.75" customHeight="1" x14ac:dyDescent="0.2">
      <c r="A50" s="25" t="s">
        <v>498</v>
      </c>
      <c r="B50" s="26" t="s">
        <v>499</v>
      </c>
      <c r="C50" s="27" t="s">
        <v>44</v>
      </c>
      <c r="D50" s="50">
        <v>196800</v>
      </c>
      <c r="E50" s="30">
        <f>+(D50-$P50)/$P50</f>
        <v>-0.40361829146337769</v>
      </c>
      <c r="F50" s="50">
        <f t="shared" si="5"/>
        <v>8200</v>
      </c>
      <c r="G50" s="50">
        <v>196800</v>
      </c>
      <c r="H50" s="30">
        <f>+(G50-$P50)/$P50</f>
        <v>-0.40361829146337769</v>
      </c>
      <c r="I50" s="50">
        <f t="shared" si="6"/>
        <v>8200</v>
      </c>
      <c r="J50" s="50">
        <v>196800</v>
      </c>
      <c r="K50" s="30">
        <f>+(J50-$P50)/$P50</f>
        <v>-0.40361829146337769</v>
      </c>
      <c r="L50" s="50">
        <f t="shared" si="7"/>
        <v>16400</v>
      </c>
      <c r="M50" s="50">
        <v>220800</v>
      </c>
      <c r="N50" s="30">
        <f t="shared" si="8"/>
        <v>-0.3308888148125701</v>
      </c>
      <c r="O50" s="50">
        <f t="shared" si="9"/>
        <v>18400</v>
      </c>
      <c r="P50" s="50">
        <v>329990</v>
      </c>
      <c r="Q50" t="s">
        <v>775</v>
      </c>
      <c r="R50" t="e">
        <f>VLOOKUP(B50,#REF!,1,0)</f>
        <v>#REF!</v>
      </c>
      <c r="S50" s="50">
        <v>-20000</v>
      </c>
      <c r="T50" s="50">
        <v>1100</v>
      </c>
      <c r="U50" s="50">
        <v>-200</v>
      </c>
      <c r="V50" s="50">
        <v>-20000</v>
      </c>
      <c r="W50" s="50">
        <v>1100</v>
      </c>
      <c r="X50" s="50">
        <v>-200</v>
      </c>
      <c r="Y50" s="50">
        <v>-20000</v>
      </c>
      <c r="Z50" s="50">
        <v>1100</v>
      </c>
      <c r="AA50" s="50">
        <v>-200</v>
      </c>
      <c r="AB50" s="50">
        <v>-3200</v>
      </c>
      <c r="AC50" s="50">
        <v>-9.6972635534410268E-3</v>
      </c>
      <c r="AD50" s="50">
        <v>-133.33333333333394</v>
      </c>
      <c r="AE50" s="50">
        <v>-3200</v>
      </c>
      <c r="AF50" s="50">
        <v>-9.6972635534410268E-3</v>
      </c>
      <c r="AG50" s="50">
        <v>-133.33333333333394</v>
      </c>
      <c r="AH50" s="50">
        <v>-3200</v>
      </c>
      <c r="AI50" s="50">
        <v>-9.6972635534410268E-3</v>
      </c>
      <c r="AJ50" s="50">
        <v>-266.66666666666788</v>
      </c>
      <c r="AK50" s="50">
        <v>-3200</v>
      </c>
      <c r="AL50" s="50">
        <v>-9.6972635534410268E-3</v>
      </c>
      <c r="AM50" s="50">
        <v>-3200</v>
      </c>
      <c r="AN50" s="50">
        <v>-9.6972635534410268E-3</v>
      </c>
      <c r="AO50" s="50">
        <v>-266.66666666666788</v>
      </c>
      <c r="AP50" s="50">
        <v>0</v>
      </c>
      <c r="AQ50" s="50">
        <v>0</v>
      </c>
      <c r="AR50" s="50">
        <v>0</v>
      </c>
      <c r="AT50" s="50">
        <v>129990</v>
      </c>
      <c r="AU50" s="50">
        <v>14600</v>
      </c>
      <c r="AV50" s="50">
        <v>392790</v>
      </c>
      <c r="AW50" s="50">
        <v>129990</v>
      </c>
      <c r="AX50" s="50">
        <v>14600</v>
      </c>
      <c r="AY50" s="50">
        <v>392790</v>
      </c>
      <c r="AZ50" s="50">
        <v>129990</v>
      </c>
      <c r="BA50" s="50">
        <v>14600</v>
      </c>
      <c r="BB50" s="50">
        <v>392790</v>
      </c>
      <c r="BC50" s="50">
        <v>200000</v>
      </c>
      <c r="BD50" s="50">
        <v>-0.39392102790993666</v>
      </c>
      <c r="BE50" s="50">
        <v>8333.3333333333339</v>
      </c>
      <c r="BF50" s="50">
        <v>200000</v>
      </c>
      <c r="BG50" s="50">
        <v>-0.39392102790993666</v>
      </c>
      <c r="BH50" s="50">
        <v>8333.3333333333339</v>
      </c>
      <c r="BI50" s="50">
        <v>200000</v>
      </c>
      <c r="BJ50" s="50">
        <v>-0.39392102790993666</v>
      </c>
      <c r="BK50" s="50">
        <v>16666.666666666668</v>
      </c>
      <c r="BL50" s="50">
        <v>224000</v>
      </c>
      <c r="BM50" s="50">
        <v>-0.32119155125912907</v>
      </c>
      <c r="BN50" s="50">
        <v>224000</v>
      </c>
      <c r="BO50" s="50">
        <v>-0.32119155125912907</v>
      </c>
      <c r="BP50" s="50">
        <v>18666.666666666668</v>
      </c>
      <c r="BQ50" s="50">
        <v>329990</v>
      </c>
      <c r="BR50" s="50" t="s">
        <v>988</v>
      </c>
      <c r="BS50" s="50" t="s">
        <v>989</v>
      </c>
    </row>
    <row r="51" spans="1:71" ht="15.75" customHeight="1" x14ac:dyDescent="0.2">
      <c r="A51" s="25" t="s">
        <v>500</v>
      </c>
      <c r="B51" s="26" t="s">
        <v>501</v>
      </c>
      <c r="C51" s="27" t="s">
        <v>44</v>
      </c>
      <c r="D51" s="50">
        <v>196800</v>
      </c>
      <c r="E51" s="30">
        <f>+(D51-$P51)/$P51</f>
        <v>-0.40361829146337769</v>
      </c>
      <c r="F51" s="50">
        <f t="shared" si="5"/>
        <v>8200</v>
      </c>
      <c r="G51" s="50">
        <v>196800</v>
      </c>
      <c r="H51" s="30">
        <f>+(G51-$P51)/$P51</f>
        <v>-0.40361829146337769</v>
      </c>
      <c r="I51" s="50">
        <f t="shared" si="6"/>
        <v>8200</v>
      </c>
      <c r="J51" s="50">
        <v>196800</v>
      </c>
      <c r="K51" s="30">
        <f>+(J51-$P51)/$P51</f>
        <v>-0.40361829146337769</v>
      </c>
      <c r="L51" s="50">
        <f t="shared" si="7"/>
        <v>16400</v>
      </c>
      <c r="M51" s="50">
        <v>220800</v>
      </c>
      <c r="N51" s="30">
        <f t="shared" si="8"/>
        <v>-0.3308888148125701</v>
      </c>
      <c r="O51" s="50">
        <f t="shared" si="9"/>
        <v>18400</v>
      </c>
      <c r="P51" s="50">
        <v>329990</v>
      </c>
      <c r="Q51" t="s">
        <v>775</v>
      </c>
      <c r="R51" t="e">
        <f>VLOOKUP(B51,#REF!,1,0)</f>
        <v>#REF!</v>
      </c>
      <c r="S51" s="50">
        <v>-20000</v>
      </c>
      <c r="T51" s="50">
        <v>1100</v>
      </c>
      <c r="U51" s="50">
        <v>-200</v>
      </c>
      <c r="V51" s="50">
        <v>-20000</v>
      </c>
      <c r="W51" s="50">
        <v>1100</v>
      </c>
      <c r="X51" s="50">
        <v>-200</v>
      </c>
      <c r="Y51" s="50">
        <v>-20000</v>
      </c>
      <c r="Z51" s="50">
        <v>1100</v>
      </c>
      <c r="AA51" s="50">
        <v>-200</v>
      </c>
      <c r="AB51" s="50">
        <v>-3200</v>
      </c>
      <c r="AC51" s="50">
        <v>-9.6972635534410268E-3</v>
      </c>
      <c r="AD51" s="50">
        <v>-133.33333333333394</v>
      </c>
      <c r="AE51" s="50">
        <v>-3200</v>
      </c>
      <c r="AF51" s="50">
        <v>-9.6972635534410268E-3</v>
      </c>
      <c r="AG51" s="50">
        <v>-133.33333333333394</v>
      </c>
      <c r="AH51" s="50">
        <v>-3200</v>
      </c>
      <c r="AI51" s="50">
        <v>-9.6972635534410268E-3</v>
      </c>
      <c r="AJ51" s="50">
        <v>-266.66666666666788</v>
      </c>
      <c r="AK51" s="50">
        <v>-3200</v>
      </c>
      <c r="AL51" s="50">
        <v>-9.6972635534410268E-3</v>
      </c>
      <c r="AM51" s="50">
        <v>-3200</v>
      </c>
      <c r="AN51" s="50">
        <v>-9.6972635534410268E-3</v>
      </c>
      <c r="AO51" s="50">
        <v>-266.66666666666788</v>
      </c>
      <c r="AP51" s="50">
        <v>0</v>
      </c>
      <c r="AQ51" s="50">
        <v>0</v>
      </c>
      <c r="AR51" s="50">
        <v>0</v>
      </c>
      <c r="AT51" s="50">
        <v>129990</v>
      </c>
      <c r="AU51" s="50">
        <v>14600</v>
      </c>
      <c r="AV51" s="50">
        <v>392790</v>
      </c>
      <c r="AW51" s="50">
        <v>129990</v>
      </c>
      <c r="AX51" s="50">
        <v>14600</v>
      </c>
      <c r="AY51" s="50">
        <v>392790</v>
      </c>
      <c r="AZ51" s="50">
        <v>129990</v>
      </c>
      <c r="BA51" s="50">
        <v>14600</v>
      </c>
      <c r="BB51" s="50">
        <v>392790</v>
      </c>
      <c r="BC51" s="50">
        <v>200000</v>
      </c>
      <c r="BD51" s="50">
        <v>-0.39392102790993666</v>
      </c>
      <c r="BE51" s="50">
        <v>8333.3333333333339</v>
      </c>
      <c r="BF51" s="50">
        <v>200000</v>
      </c>
      <c r="BG51" s="50">
        <v>-0.39392102790993666</v>
      </c>
      <c r="BH51" s="50">
        <v>8333.3333333333339</v>
      </c>
      <c r="BI51" s="50">
        <v>200000</v>
      </c>
      <c r="BJ51" s="50">
        <v>-0.39392102790993666</v>
      </c>
      <c r="BK51" s="50">
        <v>16666.666666666668</v>
      </c>
      <c r="BL51" s="50">
        <v>224000</v>
      </c>
      <c r="BM51" s="50">
        <v>-0.32119155125912907</v>
      </c>
      <c r="BN51" s="50">
        <v>224000</v>
      </c>
      <c r="BO51" s="50">
        <v>-0.32119155125912907</v>
      </c>
      <c r="BP51" s="50">
        <v>18666.666666666668</v>
      </c>
      <c r="BQ51" s="50">
        <v>329990</v>
      </c>
      <c r="BR51" s="50" t="s">
        <v>988</v>
      </c>
      <c r="BS51" s="50" t="s">
        <v>989</v>
      </c>
    </row>
    <row r="52" spans="1:71" ht="15.75" customHeight="1" x14ac:dyDescent="0.2">
      <c r="A52" s="25" t="s">
        <v>502</v>
      </c>
      <c r="B52" s="26" t="s">
        <v>503</v>
      </c>
      <c r="C52" s="27" t="s">
        <v>44</v>
      </c>
      <c r="D52" s="50">
        <v>170000</v>
      </c>
      <c r="E52" s="30">
        <f>+(D52-$P52)/$P52</f>
        <v>-0.49998529368510841</v>
      </c>
      <c r="F52" s="50">
        <f t="shared" si="5"/>
        <v>7083.333333333333</v>
      </c>
      <c r="G52" s="50">
        <v>170000</v>
      </c>
      <c r="H52" s="30">
        <f>+(G52-$P52)/$P52</f>
        <v>-0.49998529368510841</v>
      </c>
      <c r="I52" s="50">
        <f t="shared" si="6"/>
        <v>7083.333333333333</v>
      </c>
      <c r="J52" s="50">
        <v>170000</v>
      </c>
      <c r="K52" s="30">
        <f>+(J52-$P52)/$P52</f>
        <v>-0.49998529368510841</v>
      </c>
      <c r="L52" s="50">
        <f t="shared" si="7"/>
        <v>14166.666666666666</v>
      </c>
      <c r="M52" s="50">
        <v>194000</v>
      </c>
      <c r="N52" s="30">
        <f t="shared" si="8"/>
        <v>-0.42939498220535899</v>
      </c>
      <c r="O52" s="50">
        <f t="shared" si="9"/>
        <v>16166.666666666666</v>
      </c>
      <c r="P52" s="50">
        <v>339990</v>
      </c>
      <c r="Q52" t="s">
        <v>776</v>
      </c>
      <c r="R52" t="e">
        <f>VLOOKUP(B52,#REF!,1,0)</f>
        <v>#REF!</v>
      </c>
      <c r="S52" s="50">
        <v>-30000</v>
      </c>
      <c r="T52" s="50">
        <v>1600</v>
      </c>
      <c r="U52" s="50">
        <v>-1200</v>
      </c>
      <c r="V52" s="50">
        <v>-30000</v>
      </c>
      <c r="W52" s="50">
        <v>1600</v>
      </c>
      <c r="X52" s="50">
        <v>-1200</v>
      </c>
      <c r="Y52" s="50">
        <v>-30000</v>
      </c>
      <c r="Z52" s="50">
        <v>1600</v>
      </c>
      <c r="AA52" s="50">
        <v>-1200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T52" s="50">
        <v>119990</v>
      </c>
      <c r="AU52" s="50">
        <v>12900</v>
      </c>
      <c r="AV52" s="50">
        <v>352190</v>
      </c>
      <c r="AW52" s="50">
        <v>119990</v>
      </c>
      <c r="AX52" s="50">
        <v>12900</v>
      </c>
      <c r="AY52" s="50">
        <v>352190</v>
      </c>
      <c r="AZ52" s="50">
        <v>119990</v>
      </c>
      <c r="BA52" s="50">
        <v>12900</v>
      </c>
      <c r="BB52" s="50">
        <v>352190</v>
      </c>
      <c r="BC52" s="50">
        <v>170000</v>
      </c>
      <c r="BD52" s="50">
        <v>-0.49998529368510841</v>
      </c>
      <c r="BE52" s="50">
        <v>7083.333333333333</v>
      </c>
      <c r="BF52" s="50">
        <v>170000</v>
      </c>
      <c r="BG52" s="50">
        <v>-0.49998529368510841</v>
      </c>
      <c r="BH52" s="50">
        <v>7083.333333333333</v>
      </c>
      <c r="BI52" s="50">
        <v>170000</v>
      </c>
      <c r="BJ52" s="50">
        <v>-0.49998529368510841</v>
      </c>
      <c r="BK52" s="50">
        <v>14166.666666666666</v>
      </c>
      <c r="BL52" s="50">
        <v>194000</v>
      </c>
      <c r="BM52" s="50">
        <v>-0.42939498220535899</v>
      </c>
      <c r="BN52" s="50">
        <v>194000</v>
      </c>
      <c r="BO52" s="50">
        <v>-0.42939498220535899</v>
      </c>
      <c r="BP52" s="50">
        <v>16166.666666666666</v>
      </c>
      <c r="BQ52" s="50">
        <v>339990</v>
      </c>
      <c r="BR52" s="50" t="s">
        <v>988</v>
      </c>
      <c r="BS52" s="50" t="s">
        <v>989</v>
      </c>
    </row>
    <row r="53" spans="1:71" ht="15.75" customHeight="1" x14ac:dyDescent="0.2">
      <c r="A53" s="25" t="s">
        <v>504</v>
      </c>
      <c r="B53" s="26" t="s">
        <v>505</v>
      </c>
      <c r="C53" s="27" t="s">
        <v>44</v>
      </c>
      <c r="D53" s="50">
        <v>170000</v>
      </c>
      <c r="E53" s="30">
        <f>+(D53-$P53)/$P53</f>
        <v>-0.49998529368510841</v>
      </c>
      <c r="F53" s="50">
        <f t="shared" si="5"/>
        <v>7083.333333333333</v>
      </c>
      <c r="G53" s="50">
        <v>170000</v>
      </c>
      <c r="H53" s="30">
        <f>+(G53-$P53)/$P53</f>
        <v>-0.49998529368510841</v>
      </c>
      <c r="I53" s="50">
        <f t="shared" si="6"/>
        <v>7083.333333333333</v>
      </c>
      <c r="J53" s="50">
        <v>170000</v>
      </c>
      <c r="K53" s="30">
        <f>+(J53-$P53)/$P53</f>
        <v>-0.49998529368510841</v>
      </c>
      <c r="L53" s="50">
        <f t="shared" si="7"/>
        <v>14166.666666666666</v>
      </c>
      <c r="M53" s="50">
        <v>194000</v>
      </c>
      <c r="N53" s="30">
        <f t="shared" si="8"/>
        <v>-0.42939498220535899</v>
      </c>
      <c r="O53" s="50">
        <f t="shared" si="9"/>
        <v>16166.666666666666</v>
      </c>
      <c r="P53" s="50">
        <v>339990</v>
      </c>
      <c r="Q53" t="s">
        <v>776</v>
      </c>
      <c r="R53" t="e">
        <f>VLOOKUP(B53,#REF!,1,0)</f>
        <v>#REF!</v>
      </c>
      <c r="S53" s="50">
        <v>-30000</v>
      </c>
      <c r="T53" s="50">
        <v>1600</v>
      </c>
      <c r="U53" s="50">
        <v>-1200</v>
      </c>
      <c r="V53" s="50">
        <v>-30000</v>
      </c>
      <c r="W53" s="50">
        <v>1600</v>
      </c>
      <c r="X53" s="50">
        <v>-1200</v>
      </c>
      <c r="Y53" s="50">
        <v>-30000</v>
      </c>
      <c r="Z53" s="50">
        <v>1600</v>
      </c>
      <c r="AA53" s="50">
        <v>-1200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50">
        <v>0</v>
      </c>
      <c r="AH53" s="50">
        <v>0</v>
      </c>
      <c r="AI53" s="50">
        <v>0</v>
      </c>
      <c r="AJ53" s="50">
        <v>0</v>
      </c>
      <c r="AK53" s="50">
        <v>0</v>
      </c>
      <c r="AL53" s="50">
        <v>0</v>
      </c>
      <c r="AM53" s="50">
        <v>0</v>
      </c>
      <c r="AN53" s="50">
        <v>0</v>
      </c>
      <c r="AO53" s="50">
        <v>0</v>
      </c>
      <c r="AP53" s="50">
        <v>0</v>
      </c>
      <c r="AQ53" s="50">
        <v>0</v>
      </c>
      <c r="AR53" s="50">
        <v>0</v>
      </c>
      <c r="AT53" s="50">
        <v>119990</v>
      </c>
      <c r="AU53" s="50">
        <v>12900</v>
      </c>
      <c r="AV53" s="50">
        <v>352190</v>
      </c>
      <c r="AW53" s="50">
        <v>119990</v>
      </c>
      <c r="AX53" s="50">
        <v>12900</v>
      </c>
      <c r="AY53" s="50">
        <v>352190</v>
      </c>
      <c r="AZ53" s="50">
        <v>119990</v>
      </c>
      <c r="BA53" s="50">
        <v>12900</v>
      </c>
      <c r="BB53" s="50">
        <v>352190</v>
      </c>
      <c r="BC53" s="50">
        <v>170000</v>
      </c>
      <c r="BD53" s="50">
        <v>-0.49998529368510841</v>
      </c>
      <c r="BE53" s="50">
        <v>7083.333333333333</v>
      </c>
      <c r="BF53" s="50">
        <v>170000</v>
      </c>
      <c r="BG53" s="50">
        <v>-0.49998529368510841</v>
      </c>
      <c r="BH53" s="50">
        <v>7083.333333333333</v>
      </c>
      <c r="BI53" s="50">
        <v>170000</v>
      </c>
      <c r="BJ53" s="50">
        <v>-0.49998529368510841</v>
      </c>
      <c r="BK53" s="50">
        <v>14166.666666666666</v>
      </c>
      <c r="BL53" s="50">
        <v>194000</v>
      </c>
      <c r="BM53" s="50">
        <v>-0.42939498220535899</v>
      </c>
      <c r="BN53" s="50">
        <v>194000</v>
      </c>
      <c r="BO53" s="50">
        <v>-0.42939498220535899</v>
      </c>
      <c r="BP53" s="50">
        <v>16166.666666666666</v>
      </c>
      <c r="BQ53" s="50">
        <v>339990</v>
      </c>
      <c r="BR53" s="50" t="s">
        <v>988</v>
      </c>
      <c r="BS53" s="50" t="s">
        <v>989</v>
      </c>
    </row>
    <row r="54" spans="1:71" ht="15.75" customHeight="1" x14ac:dyDescent="0.2">
      <c r="A54" s="25" t="s">
        <v>506</v>
      </c>
      <c r="B54" s="26" t="s">
        <v>507</v>
      </c>
      <c r="C54" s="27" t="s">
        <v>44</v>
      </c>
      <c r="D54" s="50">
        <v>170000</v>
      </c>
      <c r="E54" s="30">
        <f>+(D54-$P54)/$P54</f>
        <v>-0.49998529368510841</v>
      </c>
      <c r="F54" s="50">
        <f t="shared" si="5"/>
        <v>7083.333333333333</v>
      </c>
      <c r="G54" s="50">
        <v>170000</v>
      </c>
      <c r="H54" s="30">
        <f>+(G54-$P54)/$P54</f>
        <v>-0.49998529368510841</v>
      </c>
      <c r="I54" s="50">
        <f t="shared" si="6"/>
        <v>7083.333333333333</v>
      </c>
      <c r="J54" s="50">
        <v>170000</v>
      </c>
      <c r="K54" s="30">
        <f>+(J54-$P54)/$P54</f>
        <v>-0.49998529368510841</v>
      </c>
      <c r="L54" s="50">
        <f t="shared" si="7"/>
        <v>14166.666666666666</v>
      </c>
      <c r="M54" s="50">
        <v>194000</v>
      </c>
      <c r="N54" s="30">
        <f t="shared" si="8"/>
        <v>-0.42939498220535899</v>
      </c>
      <c r="O54" s="50">
        <f t="shared" si="9"/>
        <v>16166.666666666666</v>
      </c>
      <c r="P54" s="50">
        <v>339990</v>
      </c>
      <c r="Q54" t="s">
        <v>776</v>
      </c>
      <c r="R54" t="e">
        <f>VLOOKUP(B54,#REF!,1,0)</f>
        <v>#REF!</v>
      </c>
      <c r="S54" s="50">
        <v>-30000</v>
      </c>
      <c r="T54" s="50">
        <v>1600</v>
      </c>
      <c r="U54" s="50">
        <v>-1200</v>
      </c>
      <c r="V54" s="50">
        <v>-30000</v>
      </c>
      <c r="W54" s="50">
        <v>1600</v>
      </c>
      <c r="X54" s="50">
        <v>-1200</v>
      </c>
      <c r="Y54" s="50">
        <v>-30000</v>
      </c>
      <c r="Z54" s="50">
        <v>1600</v>
      </c>
      <c r="AA54" s="50">
        <v>-1200</v>
      </c>
      <c r="AB54" s="50">
        <v>0</v>
      </c>
      <c r="AC54" s="50">
        <v>0</v>
      </c>
      <c r="AD54" s="50">
        <v>0</v>
      </c>
      <c r="AE54" s="50">
        <v>0</v>
      </c>
      <c r="AF54" s="50">
        <v>0</v>
      </c>
      <c r="AG54" s="50">
        <v>0</v>
      </c>
      <c r="AH54" s="50">
        <v>0</v>
      </c>
      <c r="AI54" s="50">
        <v>0</v>
      </c>
      <c r="AJ54" s="50">
        <v>0</v>
      </c>
      <c r="AK54" s="50">
        <v>0</v>
      </c>
      <c r="AL54" s="50">
        <v>0</v>
      </c>
      <c r="AM54" s="50">
        <v>0</v>
      </c>
      <c r="AN54" s="50">
        <v>0</v>
      </c>
      <c r="AO54" s="50">
        <v>0</v>
      </c>
      <c r="AP54" s="50">
        <v>0</v>
      </c>
      <c r="AQ54" s="50">
        <v>0</v>
      </c>
      <c r="AR54" s="50">
        <v>0</v>
      </c>
      <c r="AT54" s="50">
        <v>119990</v>
      </c>
      <c r="AU54" s="50">
        <v>12900</v>
      </c>
      <c r="AV54" s="50">
        <v>352190</v>
      </c>
      <c r="AW54" s="50">
        <v>119990</v>
      </c>
      <c r="AX54" s="50">
        <v>12900</v>
      </c>
      <c r="AY54" s="50">
        <v>352190</v>
      </c>
      <c r="AZ54" s="50">
        <v>119990</v>
      </c>
      <c r="BA54" s="50">
        <v>12900</v>
      </c>
      <c r="BB54" s="50">
        <v>352190</v>
      </c>
      <c r="BC54" s="50">
        <v>170000</v>
      </c>
      <c r="BD54" s="50">
        <v>-0.49998529368510841</v>
      </c>
      <c r="BE54" s="50">
        <v>7083.333333333333</v>
      </c>
      <c r="BF54" s="50">
        <v>170000</v>
      </c>
      <c r="BG54" s="50">
        <v>-0.49998529368510841</v>
      </c>
      <c r="BH54" s="50">
        <v>7083.333333333333</v>
      </c>
      <c r="BI54" s="50">
        <v>170000</v>
      </c>
      <c r="BJ54" s="50">
        <v>-0.49998529368510841</v>
      </c>
      <c r="BK54" s="50">
        <v>14166.666666666666</v>
      </c>
      <c r="BL54" s="50">
        <v>194000</v>
      </c>
      <c r="BM54" s="50">
        <v>-0.42939498220535899</v>
      </c>
      <c r="BN54" s="50">
        <v>194000</v>
      </c>
      <c r="BO54" s="50">
        <v>-0.42939498220535899</v>
      </c>
      <c r="BP54" s="50">
        <v>16166.666666666666</v>
      </c>
      <c r="BQ54" s="50">
        <v>339990</v>
      </c>
      <c r="BR54" s="50" t="s">
        <v>988</v>
      </c>
      <c r="BS54" s="50" t="s">
        <v>989</v>
      </c>
    </row>
    <row r="55" spans="1:71" ht="15.75" customHeight="1" x14ac:dyDescent="0.2">
      <c r="A55" s="25" t="s">
        <v>508</v>
      </c>
      <c r="B55" s="26" t="s">
        <v>509</v>
      </c>
      <c r="C55" s="27" t="s">
        <v>401</v>
      </c>
      <c r="D55" s="50">
        <v>240000</v>
      </c>
      <c r="E55" s="30">
        <f>+(D55-$P55)/$P55</f>
        <v>-0.31426612188919684</v>
      </c>
      <c r="F55" s="50">
        <f t="shared" si="5"/>
        <v>10000</v>
      </c>
      <c r="G55" s="50">
        <v>240000</v>
      </c>
      <c r="H55" s="30">
        <f>+(G55-$P55)/$P55</f>
        <v>-0.31426612188919684</v>
      </c>
      <c r="I55" s="50">
        <f t="shared" si="6"/>
        <v>10000</v>
      </c>
      <c r="J55" s="50">
        <v>240000</v>
      </c>
      <c r="K55" s="30">
        <f>+(J55-$P55)/$P55</f>
        <v>-0.31426612188919684</v>
      </c>
      <c r="L55" s="50">
        <f t="shared" si="7"/>
        <v>20000</v>
      </c>
      <c r="M55" s="50">
        <v>276000</v>
      </c>
      <c r="N55" s="30">
        <f t="shared" si="8"/>
        <v>-0.21140604017257636</v>
      </c>
      <c r="O55" s="50">
        <f t="shared" si="9"/>
        <v>23000</v>
      </c>
      <c r="P55" s="50">
        <v>349990</v>
      </c>
      <c r="Q55" t="s">
        <v>815</v>
      </c>
      <c r="R55" t="e">
        <f>VLOOKUP(B55,#REF!,1,0)</f>
        <v>#REF!</v>
      </c>
      <c r="S55" s="50">
        <v>-20000</v>
      </c>
      <c r="T55" s="50">
        <v>1100</v>
      </c>
      <c r="U55" s="50">
        <v>-200</v>
      </c>
      <c r="V55" s="50">
        <v>-20000</v>
      </c>
      <c r="W55" s="50">
        <v>1100</v>
      </c>
      <c r="X55" s="50">
        <v>-200</v>
      </c>
      <c r="Y55" s="50">
        <v>-20000</v>
      </c>
      <c r="Z55" s="50">
        <v>1100</v>
      </c>
      <c r="AA55" s="50">
        <v>-200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T55" s="50">
        <v>119990</v>
      </c>
      <c r="AU55" s="50">
        <v>13400</v>
      </c>
      <c r="AV55" s="50">
        <v>361190</v>
      </c>
      <c r="AW55" s="50">
        <v>119990</v>
      </c>
      <c r="AX55" s="50">
        <v>13400</v>
      </c>
      <c r="AY55" s="50">
        <v>361190</v>
      </c>
      <c r="AZ55" s="50">
        <v>119990</v>
      </c>
      <c r="BA55" s="50">
        <v>13400</v>
      </c>
      <c r="BB55" s="50">
        <v>361190</v>
      </c>
      <c r="BC55" s="50">
        <v>240000</v>
      </c>
      <c r="BD55" s="50">
        <v>-0.31426612188919684</v>
      </c>
      <c r="BE55" s="50">
        <v>10000</v>
      </c>
      <c r="BF55" s="50">
        <v>240000</v>
      </c>
      <c r="BG55" s="50">
        <v>-0.31426612188919684</v>
      </c>
      <c r="BH55" s="50">
        <v>10000</v>
      </c>
      <c r="BI55" s="50">
        <v>240000</v>
      </c>
      <c r="BJ55" s="50">
        <v>-0.31426612188919684</v>
      </c>
      <c r="BK55" s="50">
        <v>20000</v>
      </c>
      <c r="BL55" s="50">
        <v>276000</v>
      </c>
      <c r="BM55" s="50">
        <v>-0.21140604017257636</v>
      </c>
      <c r="BN55" s="50">
        <v>276000</v>
      </c>
      <c r="BO55" s="50">
        <v>-0.21140604017257636</v>
      </c>
      <c r="BP55" s="50">
        <v>23000</v>
      </c>
      <c r="BQ55" s="50">
        <v>349990</v>
      </c>
      <c r="BR55" s="50" t="s">
        <v>988</v>
      </c>
      <c r="BS55" s="50" t="s">
        <v>989</v>
      </c>
    </row>
    <row r="56" spans="1:71" ht="15.75" customHeight="1" x14ac:dyDescent="0.2">
      <c r="A56" s="25" t="s">
        <v>510</v>
      </c>
      <c r="B56" s="26" t="s">
        <v>511</v>
      </c>
      <c r="C56" s="27" t="s">
        <v>401</v>
      </c>
      <c r="D56" s="50">
        <v>240000</v>
      </c>
      <c r="E56" s="30">
        <f>+(D56-$P56)/$P56</f>
        <v>-0.31426612188919684</v>
      </c>
      <c r="F56" s="50">
        <f t="shared" si="5"/>
        <v>10000</v>
      </c>
      <c r="G56" s="50">
        <v>240000</v>
      </c>
      <c r="H56" s="30">
        <f>+(G56-$P56)/$P56</f>
        <v>-0.31426612188919684</v>
      </c>
      <c r="I56" s="50">
        <f t="shared" si="6"/>
        <v>10000</v>
      </c>
      <c r="J56" s="50">
        <v>240000</v>
      </c>
      <c r="K56" s="30">
        <f>+(J56-$P56)/$P56</f>
        <v>-0.31426612188919684</v>
      </c>
      <c r="L56" s="50">
        <f t="shared" si="7"/>
        <v>20000</v>
      </c>
      <c r="M56" s="50">
        <v>276000</v>
      </c>
      <c r="N56" s="30">
        <f t="shared" si="8"/>
        <v>-0.21140604017257636</v>
      </c>
      <c r="O56" s="50">
        <f t="shared" si="9"/>
        <v>23000</v>
      </c>
      <c r="P56" s="50">
        <v>349990</v>
      </c>
      <c r="Q56" t="s">
        <v>815</v>
      </c>
      <c r="R56" t="e">
        <f>VLOOKUP(B56,#REF!,1,0)</f>
        <v>#REF!</v>
      </c>
      <c r="S56" s="50">
        <v>-20000</v>
      </c>
      <c r="T56" s="50">
        <v>1100</v>
      </c>
      <c r="U56" s="50">
        <v>-200</v>
      </c>
      <c r="V56" s="50">
        <v>-20000</v>
      </c>
      <c r="W56" s="50">
        <v>1100</v>
      </c>
      <c r="X56" s="50">
        <v>-200</v>
      </c>
      <c r="Y56" s="50">
        <v>-20000</v>
      </c>
      <c r="Z56" s="50">
        <v>1100</v>
      </c>
      <c r="AA56" s="50">
        <v>-200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0</v>
      </c>
      <c r="AJ56" s="50">
        <v>0</v>
      </c>
      <c r="AK56" s="50">
        <v>0</v>
      </c>
      <c r="AL56" s="50">
        <v>0</v>
      </c>
      <c r="AM56" s="50">
        <v>0</v>
      </c>
      <c r="AN56" s="50">
        <v>0</v>
      </c>
      <c r="AO56" s="50">
        <v>0</v>
      </c>
      <c r="AP56" s="50">
        <v>0</v>
      </c>
      <c r="AQ56" s="50">
        <v>0</v>
      </c>
      <c r="AR56" s="50">
        <v>0</v>
      </c>
      <c r="AT56" s="50">
        <v>119990</v>
      </c>
      <c r="AU56" s="50">
        <v>13400</v>
      </c>
      <c r="AV56" s="50">
        <v>361190</v>
      </c>
      <c r="AW56" s="50">
        <v>119990</v>
      </c>
      <c r="AX56" s="50">
        <v>13400</v>
      </c>
      <c r="AY56" s="50">
        <v>361190</v>
      </c>
      <c r="AZ56" s="50">
        <v>119990</v>
      </c>
      <c r="BA56" s="50">
        <v>13400</v>
      </c>
      <c r="BB56" s="50">
        <v>361190</v>
      </c>
      <c r="BC56" s="50">
        <v>240000</v>
      </c>
      <c r="BD56" s="50">
        <v>-0.31426612188919684</v>
      </c>
      <c r="BE56" s="50">
        <v>10000</v>
      </c>
      <c r="BF56" s="50">
        <v>240000</v>
      </c>
      <c r="BG56" s="50">
        <v>-0.31426612188919684</v>
      </c>
      <c r="BH56" s="50">
        <v>10000</v>
      </c>
      <c r="BI56" s="50">
        <v>240000</v>
      </c>
      <c r="BJ56" s="50">
        <v>-0.31426612188919684</v>
      </c>
      <c r="BK56" s="50">
        <v>20000</v>
      </c>
      <c r="BL56" s="50">
        <v>276000</v>
      </c>
      <c r="BM56" s="50">
        <v>-0.21140604017257636</v>
      </c>
      <c r="BN56" s="50">
        <v>276000</v>
      </c>
      <c r="BO56" s="50">
        <v>-0.21140604017257636</v>
      </c>
      <c r="BP56" s="50">
        <v>23000</v>
      </c>
      <c r="BQ56" s="50">
        <v>349990</v>
      </c>
      <c r="BR56" s="50" t="s">
        <v>988</v>
      </c>
      <c r="BS56" s="50" t="s">
        <v>989</v>
      </c>
    </row>
    <row r="57" spans="1:71" ht="15" customHeight="1" x14ac:dyDescent="0.2">
      <c r="A57" s="25" t="s">
        <v>512</v>
      </c>
      <c r="B57" s="26" t="s">
        <v>513</v>
      </c>
      <c r="C57" s="27" t="s">
        <v>401</v>
      </c>
      <c r="D57" s="50">
        <v>240000</v>
      </c>
      <c r="E57" s="30">
        <f>+(D57-$P57)/$P57</f>
        <v>-0.31426612188919684</v>
      </c>
      <c r="F57" s="50">
        <f t="shared" si="5"/>
        <v>10000</v>
      </c>
      <c r="G57" s="50">
        <v>240000</v>
      </c>
      <c r="H57" s="30">
        <f>+(G57-$P57)/$P57</f>
        <v>-0.31426612188919684</v>
      </c>
      <c r="I57" s="50">
        <f t="shared" si="6"/>
        <v>10000</v>
      </c>
      <c r="J57" s="50">
        <v>240000</v>
      </c>
      <c r="K57" s="30">
        <f>+(J57-$P57)/$P57</f>
        <v>-0.31426612188919684</v>
      </c>
      <c r="L57" s="50">
        <f t="shared" si="7"/>
        <v>20000</v>
      </c>
      <c r="M57" s="50">
        <v>276000</v>
      </c>
      <c r="N57" s="30">
        <f t="shared" si="8"/>
        <v>-0.21140604017257636</v>
      </c>
      <c r="O57" s="50">
        <f t="shared" si="9"/>
        <v>23000</v>
      </c>
      <c r="P57" s="50">
        <v>349990</v>
      </c>
      <c r="Q57" t="s">
        <v>815</v>
      </c>
      <c r="R57" t="e">
        <f>VLOOKUP(B57,#REF!,1,0)</f>
        <v>#REF!</v>
      </c>
      <c r="S57" s="50">
        <v>-20000</v>
      </c>
      <c r="T57" s="50">
        <v>1100</v>
      </c>
      <c r="U57" s="50">
        <v>-200</v>
      </c>
      <c r="V57" s="50">
        <v>-20000</v>
      </c>
      <c r="W57" s="50">
        <v>1100</v>
      </c>
      <c r="X57" s="50">
        <v>-200</v>
      </c>
      <c r="Y57" s="50">
        <v>-20000</v>
      </c>
      <c r="Z57" s="50">
        <v>1100</v>
      </c>
      <c r="AA57" s="50">
        <v>-200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50">
        <v>0</v>
      </c>
      <c r="AH57" s="50">
        <v>0</v>
      </c>
      <c r="AI57" s="50">
        <v>0</v>
      </c>
      <c r="AJ57" s="50">
        <v>0</v>
      </c>
      <c r="AK57" s="50">
        <v>0</v>
      </c>
      <c r="AL57" s="50">
        <v>0</v>
      </c>
      <c r="AM57" s="50">
        <v>0</v>
      </c>
      <c r="AN57" s="50">
        <v>0</v>
      </c>
      <c r="AO57" s="50">
        <v>0</v>
      </c>
      <c r="AP57" s="50">
        <v>0</v>
      </c>
      <c r="AQ57" s="50">
        <v>0</v>
      </c>
      <c r="AR57" s="50">
        <v>0</v>
      </c>
      <c r="AT57" s="50">
        <v>119990</v>
      </c>
      <c r="AU57" s="50">
        <v>13400</v>
      </c>
      <c r="AV57" s="50">
        <v>361190</v>
      </c>
      <c r="AW57" s="50">
        <v>119990</v>
      </c>
      <c r="AX57" s="50">
        <v>13400</v>
      </c>
      <c r="AY57" s="50">
        <v>361190</v>
      </c>
      <c r="AZ57" s="50">
        <v>119990</v>
      </c>
      <c r="BA57" s="50">
        <v>13400</v>
      </c>
      <c r="BB57" s="50">
        <v>361190</v>
      </c>
      <c r="BC57" s="50">
        <v>240000</v>
      </c>
      <c r="BD57" s="50">
        <v>-0.31426612188919684</v>
      </c>
      <c r="BE57" s="50">
        <v>10000</v>
      </c>
      <c r="BF57" s="50">
        <v>240000</v>
      </c>
      <c r="BG57" s="50">
        <v>-0.31426612188919684</v>
      </c>
      <c r="BH57" s="50">
        <v>10000</v>
      </c>
      <c r="BI57" s="50">
        <v>240000</v>
      </c>
      <c r="BJ57" s="50">
        <v>-0.31426612188919684</v>
      </c>
      <c r="BK57" s="50">
        <v>20000</v>
      </c>
      <c r="BL57" s="50">
        <v>276000</v>
      </c>
      <c r="BM57" s="50">
        <v>-0.21140604017257636</v>
      </c>
      <c r="BN57" s="50">
        <v>276000</v>
      </c>
      <c r="BO57" s="50">
        <v>-0.21140604017257636</v>
      </c>
      <c r="BP57" s="50">
        <v>23000</v>
      </c>
      <c r="BQ57" s="50">
        <v>349990</v>
      </c>
      <c r="BR57" s="50" t="s">
        <v>988</v>
      </c>
      <c r="BS57" s="50" t="s">
        <v>989</v>
      </c>
    </row>
    <row r="58" spans="1:71" ht="15.75" customHeight="1" x14ac:dyDescent="0.2">
      <c r="A58" s="25" t="s">
        <v>514</v>
      </c>
      <c r="B58" s="26" t="s">
        <v>515</v>
      </c>
      <c r="C58" s="27" t="s">
        <v>401</v>
      </c>
      <c r="D58" s="50">
        <v>240000</v>
      </c>
      <c r="E58" s="30">
        <f>+(D58-$P58)/$P58</f>
        <v>-0.31426612188919684</v>
      </c>
      <c r="F58" s="50">
        <f t="shared" si="5"/>
        <v>10000</v>
      </c>
      <c r="G58" s="50">
        <v>240000</v>
      </c>
      <c r="H58" s="30">
        <f>+(G58-$P58)/$P58</f>
        <v>-0.31426612188919684</v>
      </c>
      <c r="I58" s="50">
        <f t="shared" si="6"/>
        <v>10000</v>
      </c>
      <c r="J58" s="50">
        <v>240000</v>
      </c>
      <c r="K58" s="30">
        <f>+(J58-$P58)/$P58</f>
        <v>-0.31426612188919684</v>
      </c>
      <c r="L58" s="50">
        <f t="shared" si="7"/>
        <v>20000</v>
      </c>
      <c r="M58" s="50">
        <v>276000</v>
      </c>
      <c r="N58" s="30">
        <f t="shared" si="8"/>
        <v>-0.21140604017257636</v>
      </c>
      <c r="O58" s="50">
        <f t="shared" si="9"/>
        <v>23000</v>
      </c>
      <c r="P58" s="50">
        <v>349990</v>
      </c>
      <c r="Q58" t="s">
        <v>815</v>
      </c>
      <c r="R58" t="e">
        <f>VLOOKUP(B58,#REF!,1,0)</f>
        <v>#REF!</v>
      </c>
      <c r="S58" s="50">
        <v>-20000</v>
      </c>
      <c r="T58" s="50">
        <v>1100</v>
      </c>
      <c r="U58" s="50">
        <v>-200</v>
      </c>
      <c r="V58" s="50">
        <v>-20000</v>
      </c>
      <c r="W58" s="50">
        <v>1100</v>
      </c>
      <c r="X58" s="50">
        <v>-200</v>
      </c>
      <c r="Y58" s="50">
        <v>-20000</v>
      </c>
      <c r="Z58" s="50">
        <v>1100</v>
      </c>
      <c r="AA58" s="50">
        <v>-200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T58" s="50">
        <v>119990</v>
      </c>
      <c r="AU58" s="50">
        <v>13400</v>
      </c>
      <c r="AV58" s="50">
        <v>361190</v>
      </c>
      <c r="AW58" s="50">
        <v>119990</v>
      </c>
      <c r="AX58" s="50">
        <v>13400</v>
      </c>
      <c r="AY58" s="50">
        <v>361190</v>
      </c>
      <c r="AZ58" s="50">
        <v>119990</v>
      </c>
      <c r="BA58" s="50">
        <v>13400</v>
      </c>
      <c r="BB58" s="50">
        <v>361190</v>
      </c>
      <c r="BC58" s="50">
        <v>240000</v>
      </c>
      <c r="BD58" s="50">
        <v>-0.31426612188919684</v>
      </c>
      <c r="BE58" s="50">
        <v>10000</v>
      </c>
      <c r="BF58" s="50">
        <v>240000</v>
      </c>
      <c r="BG58" s="50">
        <v>-0.31426612188919684</v>
      </c>
      <c r="BH58" s="50">
        <v>10000</v>
      </c>
      <c r="BI58" s="50">
        <v>240000</v>
      </c>
      <c r="BJ58" s="50">
        <v>-0.31426612188919684</v>
      </c>
      <c r="BK58" s="50">
        <v>20000</v>
      </c>
      <c r="BL58" s="50">
        <v>276000</v>
      </c>
      <c r="BM58" s="50">
        <v>-0.21140604017257636</v>
      </c>
      <c r="BN58" s="50">
        <v>276000</v>
      </c>
      <c r="BO58" s="50">
        <v>-0.21140604017257636</v>
      </c>
      <c r="BP58" s="50">
        <v>23000</v>
      </c>
      <c r="BQ58" s="50">
        <v>349990</v>
      </c>
      <c r="BR58" s="50" t="s">
        <v>988</v>
      </c>
      <c r="BS58" s="50" t="s">
        <v>989</v>
      </c>
    </row>
    <row r="59" spans="1:71" ht="15.75" customHeight="1" x14ac:dyDescent="0.2">
      <c r="A59" s="25" t="s">
        <v>516</v>
      </c>
      <c r="B59" s="26" t="s">
        <v>517</v>
      </c>
      <c r="C59" s="27" t="s">
        <v>401</v>
      </c>
      <c r="D59" s="50">
        <v>220800</v>
      </c>
      <c r="E59" s="30">
        <f>+(D59-$P59)/$P59</f>
        <v>-0.36912483213806108</v>
      </c>
      <c r="F59" s="50">
        <f t="shared" si="5"/>
        <v>9200</v>
      </c>
      <c r="G59" s="50">
        <v>220800</v>
      </c>
      <c r="H59" s="30">
        <f>+(G59-$P59)/$P59</f>
        <v>-0.36912483213806108</v>
      </c>
      <c r="I59" s="50">
        <f t="shared" si="6"/>
        <v>9200</v>
      </c>
      <c r="J59" s="50">
        <v>220800</v>
      </c>
      <c r="K59" s="30">
        <f>+(J59-$P59)/$P59</f>
        <v>-0.36912483213806108</v>
      </c>
      <c r="L59" s="50">
        <f t="shared" si="7"/>
        <v>18400</v>
      </c>
      <c r="M59" s="50">
        <v>268800</v>
      </c>
      <c r="N59" s="30">
        <f t="shared" si="8"/>
        <v>-0.23197805651590045</v>
      </c>
      <c r="O59" s="50">
        <f t="shared" si="9"/>
        <v>22400</v>
      </c>
      <c r="P59" s="50">
        <v>349990</v>
      </c>
      <c r="Q59" t="s">
        <v>816</v>
      </c>
      <c r="R59" t="e">
        <f>VLOOKUP(B59,#REF!,1,0)</f>
        <v>#REF!</v>
      </c>
      <c r="S59" s="50">
        <v>-20000</v>
      </c>
      <c r="T59" s="50">
        <v>1100</v>
      </c>
      <c r="U59" s="50">
        <v>-200</v>
      </c>
      <c r="V59" s="50">
        <v>-20000</v>
      </c>
      <c r="W59" s="50">
        <v>1100</v>
      </c>
      <c r="X59" s="50">
        <v>-200</v>
      </c>
      <c r="Y59" s="50">
        <v>-20000</v>
      </c>
      <c r="Z59" s="50">
        <v>1100</v>
      </c>
      <c r="AA59" s="50">
        <v>-200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50">
        <v>0</v>
      </c>
      <c r="AH59" s="50">
        <v>0</v>
      </c>
      <c r="AI59" s="50">
        <v>0</v>
      </c>
      <c r="AJ59" s="50">
        <v>0</v>
      </c>
      <c r="AK59" s="50">
        <v>0</v>
      </c>
      <c r="AL59" s="50">
        <v>0</v>
      </c>
      <c r="AM59" s="50">
        <v>0</v>
      </c>
      <c r="AN59" s="50">
        <v>0</v>
      </c>
      <c r="AO59" s="50">
        <v>0</v>
      </c>
      <c r="AP59" s="50">
        <v>0</v>
      </c>
      <c r="AQ59" s="50">
        <v>0</v>
      </c>
      <c r="AR59" s="50">
        <v>0</v>
      </c>
      <c r="AT59" s="50">
        <v>109990</v>
      </c>
      <c r="AU59" s="50">
        <v>13200</v>
      </c>
      <c r="AV59" s="50">
        <v>347590</v>
      </c>
      <c r="AW59" s="50">
        <v>109990</v>
      </c>
      <c r="AX59" s="50">
        <v>13200</v>
      </c>
      <c r="AY59" s="50">
        <v>347590</v>
      </c>
      <c r="AZ59" s="50">
        <v>109990</v>
      </c>
      <c r="BA59" s="50">
        <v>13200</v>
      </c>
      <c r="BB59" s="50">
        <v>347590</v>
      </c>
      <c r="BC59" s="50">
        <v>220800</v>
      </c>
      <c r="BD59" s="50">
        <v>-0.36912483213806108</v>
      </c>
      <c r="BE59" s="50">
        <v>9200</v>
      </c>
      <c r="BF59" s="50">
        <v>220800</v>
      </c>
      <c r="BG59" s="50">
        <v>-0.36912483213806108</v>
      </c>
      <c r="BH59" s="50">
        <v>9200</v>
      </c>
      <c r="BI59" s="50">
        <v>220800</v>
      </c>
      <c r="BJ59" s="50">
        <v>-0.36912483213806108</v>
      </c>
      <c r="BK59" s="50">
        <v>18400</v>
      </c>
      <c r="BL59" s="50">
        <v>268800</v>
      </c>
      <c r="BM59" s="50">
        <v>-0.23197805651590045</v>
      </c>
      <c r="BN59" s="50">
        <v>268800</v>
      </c>
      <c r="BO59" s="50">
        <v>-0.23197805651590045</v>
      </c>
      <c r="BP59" s="50">
        <v>22400</v>
      </c>
      <c r="BQ59" s="50">
        <v>349990</v>
      </c>
      <c r="BR59" s="50" t="s">
        <v>988</v>
      </c>
      <c r="BS59" s="50" t="s">
        <v>989</v>
      </c>
    </row>
    <row r="60" spans="1:71" ht="15.75" customHeight="1" x14ac:dyDescent="0.2">
      <c r="A60" s="25" t="s">
        <v>518</v>
      </c>
      <c r="B60" s="26" t="s">
        <v>519</v>
      </c>
      <c r="C60" s="27" t="s">
        <v>44</v>
      </c>
      <c r="D60" s="50">
        <v>180000</v>
      </c>
      <c r="E60" s="30">
        <f>+(D60-$P60)/$P60</f>
        <v>-0.39997999933331113</v>
      </c>
      <c r="F60" s="50">
        <f t="shared" si="5"/>
        <v>7500</v>
      </c>
      <c r="G60" s="50">
        <v>180000</v>
      </c>
      <c r="H60" s="30">
        <f>+(G60-$P60)/$P60</f>
        <v>-0.39997999933331113</v>
      </c>
      <c r="I60" s="50">
        <f t="shared" si="6"/>
        <v>7500</v>
      </c>
      <c r="J60" s="50">
        <v>180000</v>
      </c>
      <c r="K60" s="30">
        <f>+(J60-$P60)/$P60</f>
        <v>-0.39997999933331113</v>
      </c>
      <c r="L60" s="50">
        <f t="shared" si="7"/>
        <v>15000</v>
      </c>
      <c r="M60" s="50">
        <v>208800</v>
      </c>
      <c r="N60" s="30">
        <f t="shared" si="8"/>
        <v>-0.30397679922664089</v>
      </c>
      <c r="O60" s="50">
        <f t="shared" si="9"/>
        <v>17400</v>
      </c>
      <c r="P60" s="50">
        <v>299990</v>
      </c>
      <c r="Q60" t="s">
        <v>938</v>
      </c>
      <c r="R60" t="e">
        <f>VLOOKUP(B60,#REF!,1,0)</f>
        <v>#REF!</v>
      </c>
      <c r="S60" s="50">
        <v>-20000</v>
      </c>
      <c r="T60" s="50">
        <v>1100</v>
      </c>
      <c r="U60" s="50">
        <v>-200</v>
      </c>
      <c r="V60" s="50">
        <v>-20000</v>
      </c>
      <c r="W60" s="50">
        <v>1100</v>
      </c>
      <c r="X60" s="50">
        <v>-200</v>
      </c>
      <c r="Y60" s="50">
        <v>-20000</v>
      </c>
      <c r="Z60" s="50">
        <v>1100</v>
      </c>
      <c r="AA60" s="50">
        <v>-200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50">
        <v>0</v>
      </c>
      <c r="AH60" s="50">
        <v>0</v>
      </c>
      <c r="AI60" s="50">
        <v>0</v>
      </c>
      <c r="AJ60" s="50">
        <v>0</v>
      </c>
      <c r="AK60" s="50">
        <v>0</v>
      </c>
      <c r="AL60" s="50">
        <v>0</v>
      </c>
      <c r="AM60" s="50">
        <v>0</v>
      </c>
      <c r="AN60" s="50">
        <v>0</v>
      </c>
      <c r="AO60" s="50">
        <v>0</v>
      </c>
      <c r="AP60" s="50">
        <v>0</v>
      </c>
      <c r="AQ60" s="50">
        <v>0</v>
      </c>
      <c r="AR60" s="50">
        <v>0</v>
      </c>
      <c r="AT60" s="50">
        <v>129990</v>
      </c>
      <c r="AU60" s="50">
        <v>15700</v>
      </c>
      <c r="AV60" s="50">
        <v>412590</v>
      </c>
      <c r="AW60" s="50">
        <v>129990</v>
      </c>
      <c r="AX60" s="50">
        <v>15700</v>
      </c>
      <c r="AY60" s="50">
        <v>412590</v>
      </c>
      <c r="AZ60" s="50">
        <v>129990</v>
      </c>
      <c r="BA60" s="50">
        <v>15700</v>
      </c>
      <c r="BB60" s="50">
        <v>412590</v>
      </c>
      <c r="BC60" s="50">
        <v>180000</v>
      </c>
      <c r="BD60" s="50">
        <v>-0.39997999933331113</v>
      </c>
      <c r="BE60" s="50">
        <v>7500</v>
      </c>
      <c r="BF60" s="50">
        <v>180000</v>
      </c>
      <c r="BG60" s="50">
        <v>-0.39997999933331113</v>
      </c>
      <c r="BH60" s="50">
        <v>7500</v>
      </c>
      <c r="BI60" s="50">
        <v>180000</v>
      </c>
      <c r="BJ60" s="50">
        <v>-0.39997999933331113</v>
      </c>
      <c r="BK60" s="50">
        <v>15000</v>
      </c>
      <c r="BL60" s="50">
        <v>208800</v>
      </c>
      <c r="BM60" s="50">
        <v>-0.30397679922664089</v>
      </c>
      <c r="BN60" s="50">
        <v>208800</v>
      </c>
      <c r="BO60" s="50">
        <v>-0.30397679922664089</v>
      </c>
      <c r="BP60" s="50">
        <v>17400</v>
      </c>
      <c r="BQ60" s="50">
        <v>299990</v>
      </c>
      <c r="BR60" s="50" t="s">
        <v>988</v>
      </c>
      <c r="BS60" s="50" t="s">
        <v>989</v>
      </c>
    </row>
    <row r="61" spans="1:71" ht="15.75" customHeight="1" x14ac:dyDescent="0.2">
      <c r="A61" s="25" t="s">
        <v>520</v>
      </c>
      <c r="B61" s="26" t="s">
        <v>521</v>
      </c>
      <c r="C61" s="27" t="s">
        <v>44</v>
      </c>
      <c r="D61" s="50">
        <v>220800</v>
      </c>
      <c r="E61" s="30">
        <f>+(D61-$P61)/$P61</f>
        <v>-0.36912483213806108</v>
      </c>
      <c r="F61" s="50">
        <f t="shared" si="5"/>
        <v>9200</v>
      </c>
      <c r="G61" s="50">
        <v>220800</v>
      </c>
      <c r="H61" s="30">
        <f>+(G61-$P61)/$P61</f>
        <v>-0.36912483213806108</v>
      </c>
      <c r="I61" s="50">
        <f t="shared" si="6"/>
        <v>9200</v>
      </c>
      <c r="J61" s="50">
        <v>220800</v>
      </c>
      <c r="K61" s="30">
        <f>+(J61-$P61)/$P61</f>
        <v>-0.36912483213806108</v>
      </c>
      <c r="L61" s="50">
        <f t="shared" si="7"/>
        <v>18400</v>
      </c>
      <c r="M61" s="50">
        <v>268800</v>
      </c>
      <c r="N61" s="30">
        <f t="shared" si="8"/>
        <v>-0.23197805651590045</v>
      </c>
      <c r="O61" s="50">
        <f t="shared" si="9"/>
        <v>22400</v>
      </c>
      <c r="P61" s="50">
        <v>349990</v>
      </c>
      <c r="Q61" t="s">
        <v>816</v>
      </c>
      <c r="R61" t="e">
        <f>VLOOKUP(B61,#REF!,1,0)</f>
        <v>#REF!</v>
      </c>
      <c r="S61" s="50">
        <v>-20000</v>
      </c>
      <c r="T61" s="50">
        <v>1100</v>
      </c>
      <c r="U61" s="50">
        <v>-200</v>
      </c>
      <c r="V61" s="50">
        <v>-20000</v>
      </c>
      <c r="W61" s="50">
        <v>1100</v>
      </c>
      <c r="X61" s="50">
        <v>-200</v>
      </c>
      <c r="Y61" s="50">
        <v>-20000</v>
      </c>
      <c r="Z61" s="50">
        <v>1100</v>
      </c>
      <c r="AA61" s="50">
        <v>-200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50">
        <v>0</v>
      </c>
      <c r="AH61" s="50">
        <v>0</v>
      </c>
      <c r="AI61" s="50">
        <v>0</v>
      </c>
      <c r="AJ61" s="50">
        <v>0</v>
      </c>
      <c r="AK61" s="50">
        <v>0</v>
      </c>
      <c r="AL61" s="50">
        <v>0</v>
      </c>
      <c r="AM61" s="50">
        <v>0</v>
      </c>
      <c r="AN61" s="50">
        <v>0</v>
      </c>
      <c r="AO61" s="50">
        <v>0</v>
      </c>
      <c r="AP61" s="50">
        <v>0</v>
      </c>
      <c r="AQ61" s="50">
        <v>0</v>
      </c>
      <c r="AR61" s="50">
        <v>0</v>
      </c>
      <c r="AT61" s="50">
        <v>109990</v>
      </c>
      <c r="AU61" s="50">
        <v>13200</v>
      </c>
      <c r="AV61" s="50">
        <v>347590</v>
      </c>
      <c r="AW61" s="50">
        <v>109990</v>
      </c>
      <c r="AX61" s="50">
        <v>13200</v>
      </c>
      <c r="AY61" s="50">
        <v>347590</v>
      </c>
      <c r="AZ61" s="50">
        <v>109990</v>
      </c>
      <c r="BA61" s="50">
        <v>13200</v>
      </c>
      <c r="BB61" s="50">
        <v>347590</v>
      </c>
      <c r="BC61" s="50">
        <v>220800</v>
      </c>
      <c r="BD61" s="50">
        <v>-0.36912483213806108</v>
      </c>
      <c r="BE61" s="50">
        <v>9200</v>
      </c>
      <c r="BF61" s="50">
        <v>220800</v>
      </c>
      <c r="BG61" s="50">
        <v>-0.36912483213806108</v>
      </c>
      <c r="BH61" s="50">
        <v>9200</v>
      </c>
      <c r="BI61" s="50">
        <v>220800</v>
      </c>
      <c r="BJ61" s="50">
        <v>-0.36912483213806108</v>
      </c>
      <c r="BK61" s="50">
        <v>18400</v>
      </c>
      <c r="BL61" s="50">
        <v>268800</v>
      </c>
      <c r="BM61" s="50">
        <v>-0.23197805651590045</v>
      </c>
      <c r="BN61" s="50">
        <v>268800</v>
      </c>
      <c r="BO61" s="50">
        <v>-0.23197805651590045</v>
      </c>
      <c r="BP61" s="50">
        <v>22400</v>
      </c>
      <c r="BQ61" s="50">
        <v>349990</v>
      </c>
      <c r="BR61" s="50" t="s">
        <v>988</v>
      </c>
      <c r="BS61" s="50" t="s">
        <v>989</v>
      </c>
    </row>
    <row r="62" spans="1:71" ht="15.75" customHeight="1" x14ac:dyDescent="0.2">
      <c r="A62" s="25" t="s">
        <v>522</v>
      </c>
      <c r="B62" s="26" t="s">
        <v>523</v>
      </c>
      <c r="C62" s="27" t="s">
        <v>44</v>
      </c>
      <c r="D62" s="50">
        <v>220800</v>
      </c>
      <c r="E62" s="30">
        <f>+(D62-$P62)/$P62</f>
        <v>-0.36912483213806108</v>
      </c>
      <c r="F62" s="50">
        <f t="shared" ref="F62:F120" si="10">D62/24</f>
        <v>9200</v>
      </c>
      <c r="G62" s="50">
        <v>220800</v>
      </c>
      <c r="H62" s="30">
        <f>+(G62-$P62)/$P62</f>
        <v>-0.36912483213806108</v>
      </c>
      <c r="I62" s="50">
        <f t="shared" ref="I62:I120" si="11">G62/24</f>
        <v>9200</v>
      </c>
      <c r="J62" s="50">
        <v>220800</v>
      </c>
      <c r="K62" s="30">
        <f>+(J62-$P62)/$P62</f>
        <v>-0.36912483213806108</v>
      </c>
      <c r="L62" s="50">
        <f t="shared" ref="L62:L120" si="12">J62/12</f>
        <v>18400</v>
      </c>
      <c r="M62" s="50">
        <v>268800</v>
      </c>
      <c r="N62" s="30">
        <f t="shared" ref="N62:N120" si="13">+(M62-$P62)/$P62</f>
        <v>-0.23197805651590045</v>
      </c>
      <c r="O62" s="50">
        <f t="shared" ref="O62:O120" si="14">M62/12</f>
        <v>22400</v>
      </c>
      <c r="P62" s="50">
        <v>349990</v>
      </c>
      <c r="Q62" t="s">
        <v>816</v>
      </c>
      <c r="R62" t="e">
        <f>VLOOKUP(B62,#REF!,1,0)</f>
        <v>#REF!</v>
      </c>
      <c r="S62" s="50">
        <v>-20000</v>
      </c>
      <c r="T62" s="50">
        <v>1100</v>
      </c>
      <c r="U62" s="50">
        <v>-200</v>
      </c>
      <c r="V62" s="50">
        <v>-20000</v>
      </c>
      <c r="W62" s="50">
        <v>1100</v>
      </c>
      <c r="X62" s="50">
        <v>-200</v>
      </c>
      <c r="Y62" s="50">
        <v>-20000</v>
      </c>
      <c r="Z62" s="50">
        <v>1100</v>
      </c>
      <c r="AA62" s="50">
        <v>-200</v>
      </c>
      <c r="AB62" s="50">
        <v>0</v>
      </c>
      <c r="AC62" s="50">
        <v>0</v>
      </c>
      <c r="AD62" s="50">
        <v>0</v>
      </c>
      <c r="AE62" s="50">
        <v>0</v>
      </c>
      <c r="AF62" s="50">
        <v>0</v>
      </c>
      <c r="AG62" s="50">
        <v>0</v>
      </c>
      <c r="AH62" s="50">
        <v>0</v>
      </c>
      <c r="AI62" s="50">
        <v>0</v>
      </c>
      <c r="AJ62" s="50">
        <v>0</v>
      </c>
      <c r="AK62" s="50">
        <v>0</v>
      </c>
      <c r="AL62" s="50">
        <v>0</v>
      </c>
      <c r="AM62" s="50">
        <v>0</v>
      </c>
      <c r="AN62" s="50">
        <v>0</v>
      </c>
      <c r="AO62" s="50">
        <v>0</v>
      </c>
      <c r="AP62" s="50">
        <v>0</v>
      </c>
      <c r="AQ62" s="50">
        <v>0</v>
      </c>
      <c r="AR62" s="50">
        <v>0</v>
      </c>
      <c r="AT62" s="50">
        <v>109990</v>
      </c>
      <c r="AU62" s="50">
        <v>13200</v>
      </c>
      <c r="AV62" s="50">
        <v>347590</v>
      </c>
      <c r="AW62" s="50">
        <v>109990</v>
      </c>
      <c r="AX62" s="50">
        <v>13200</v>
      </c>
      <c r="AY62" s="50">
        <v>347590</v>
      </c>
      <c r="AZ62" s="50">
        <v>109990</v>
      </c>
      <c r="BA62" s="50">
        <v>13200</v>
      </c>
      <c r="BB62" s="50">
        <v>347590</v>
      </c>
      <c r="BC62" s="50">
        <v>220800</v>
      </c>
      <c r="BD62" s="50">
        <v>-0.36912483213806108</v>
      </c>
      <c r="BE62" s="50">
        <v>9200</v>
      </c>
      <c r="BF62" s="50">
        <v>220800</v>
      </c>
      <c r="BG62" s="50">
        <v>-0.36912483213806108</v>
      </c>
      <c r="BH62" s="50">
        <v>9200</v>
      </c>
      <c r="BI62" s="50">
        <v>220800</v>
      </c>
      <c r="BJ62" s="50">
        <v>-0.36912483213806108</v>
      </c>
      <c r="BK62" s="50">
        <v>18400</v>
      </c>
      <c r="BL62" s="50">
        <v>268800</v>
      </c>
      <c r="BM62" s="50">
        <v>-0.23197805651590045</v>
      </c>
      <c r="BN62" s="50">
        <v>268800</v>
      </c>
      <c r="BO62" s="50">
        <v>-0.23197805651590045</v>
      </c>
      <c r="BP62" s="50">
        <v>22400</v>
      </c>
      <c r="BQ62" s="50">
        <v>349990</v>
      </c>
      <c r="BR62" s="50" t="s">
        <v>988</v>
      </c>
      <c r="BS62" s="50" t="s">
        <v>989</v>
      </c>
    </row>
    <row r="63" spans="1:71" ht="15.75" customHeight="1" x14ac:dyDescent="0.2">
      <c r="A63" s="25" t="s">
        <v>524</v>
      </c>
      <c r="B63" s="26" t="s">
        <v>525</v>
      </c>
      <c r="C63" s="27" t="s">
        <v>401</v>
      </c>
      <c r="D63" s="50">
        <v>220800</v>
      </c>
      <c r="E63" s="30">
        <f>+(D63-$P63)/$P63</f>
        <v>-0.36912483213806108</v>
      </c>
      <c r="F63" s="50">
        <f t="shared" si="10"/>
        <v>9200</v>
      </c>
      <c r="G63" s="50">
        <v>220800</v>
      </c>
      <c r="H63" s="30">
        <f>+(G63-$P63)/$P63</f>
        <v>-0.36912483213806108</v>
      </c>
      <c r="I63" s="50">
        <f t="shared" si="11"/>
        <v>9200</v>
      </c>
      <c r="J63" s="50">
        <v>220800</v>
      </c>
      <c r="K63" s="30">
        <f>+(J63-$P63)/$P63</f>
        <v>-0.36912483213806108</v>
      </c>
      <c r="L63" s="50">
        <f t="shared" si="12"/>
        <v>18400</v>
      </c>
      <c r="M63" s="50">
        <v>268800</v>
      </c>
      <c r="N63" s="30">
        <f t="shared" si="13"/>
        <v>-0.23197805651590045</v>
      </c>
      <c r="O63" s="50">
        <f t="shared" si="14"/>
        <v>22400</v>
      </c>
      <c r="P63" s="50">
        <v>349990</v>
      </c>
      <c r="Q63" t="s">
        <v>816</v>
      </c>
      <c r="R63" t="e">
        <f>VLOOKUP(B63,#REF!,1,0)</f>
        <v>#REF!</v>
      </c>
      <c r="S63" s="50">
        <v>-20000</v>
      </c>
      <c r="T63" s="50">
        <v>1100</v>
      </c>
      <c r="U63" s="50">
        <v>-200</v>
      </c>
      <c r="V63" s="50">
        <v>-20000</v>
      </c>
      <c r="W63" s="50">
        <v>1100</v>
      </c>
      <c r="X63" s="50">
        <v>-200</v>
      </c>
      <c r="Y63" s="50">
        <v>-20000</v>
      </c>
      <c r="Z63" s="50">
        <v>1100</v>
      </c>
      <c r="AA63" s="50">
        <v>-200</v>
      </c>
      <c r="AB63" s="50">
        <v>0</v>
      </c>
      <c r="AC63" s="50">
        <v>0</v>
      </c>
      <c r="AD63" s="50">
        <v>0</v>
      </c>
      <c r="AE63" s="50">
        <v>0</v>
      </c>
      <c r="AF63" s="50">
        <v>0</v>
      </c>
      <c r="AG63" s="50">
        <v>0</v>
      </c>
      <c r="AH63" s="50">
        <v>0</v>
      </c>
      <c r="AI63" s="50">
        <v>0</v>
      </c>
      <c r="AJ63" s="50">
        <v>0</v>
      </c>
      <c r="AK63" s="50">
        <v>0</v>
      </c>
      <c r="AL63" s="50">
        <v>0</v>
      </c>
      <c r="AM63" s="50">
        <v>0</v>
      </c>
      <c r="AN63" s="50">
        <v>0</v>
      </c>
      <c r="AO63" s="50">
        <v>0</v>
      </c>
      <c r="AP63" s="50">
        <v>0</v>
      </c>
      <c r="AQ63" s="50">
        <v>0</v>
      </c>
      <c r="AR63" s="50">
        <v>0</v>
      </c>
      <c r="AT63" s="50">
        <v>109990</v>
      </c>
      <c r="AU63" s="50">
        <v>13200</v>
      </c>
      <c r="AV63" s="50">
        <v>347590</v>
      </c>
      <c r="AW63" s="50">
        <v>109990</v>
      </c>
      <c r="AX63" s="50">
        <v>13200</v>
      </c>
      <c r="AY63" s="50">
        <v>347590</v>
      </c>
      <c r="AZ63" s="50">
        <v>109990</v>
      </c>
      <c r="BA63" s="50">
        <v>13200</v>
      </c>
      <c r="BB63" s="50">
        <v>347590</v>
      </c>
      <c r="BC63" s="50">
        <v>220800</v>
      </c>
      <c r="BD63" s="50">
        <v>-0.36912483213806108</v>
      </c>
      <c r="BE63" s="50">
        <v>9200</v>
      </c>
      <c r="BF63" s="50">
        <v>220800</v>
      </c>
      <c r="BG63" s="50">
        <v>-0.36912483213806108</v>
      </c>
      <c r="BH63" s="50">
        <v>9200</v>
      </c>
      <c r="BI63" s="50">
        <v>220800</v>
      </c>
      <c r="BJ63" s="50">
        <v>-0.36912483213806108</v>
      </c>
      <c r="BK63" s="50">
        <v>18400</v>
      </c>
      <c r="BL63" s="50">
        <v>268800</v>
      </c>
      <c r="BM63" s="50">
        <v>-0.23197805651590045</v>
      </c>
      <c r="BN63" s="50">
        <v>268800</v>
      </c>
      <c r="BO63" s="50">
        <v>-0.23197805651590045</v>
      </c>
      <c r="BP63" s="50">
        <v>22400</v>
      </c>
      <c r="BQ63" s="50">
        <v>349990</v>
      </c>
      <c r="BR63" s="50" t="s">
        <v>988</v>
      </c>
      <c r="BS63" s="50" t="s">
        <v>989</v>
      </c>
    </row>
    <row r="64" spans="1:71" ht="15.75" customHeight="1" x14ac:dyDescent="0.2">
      <c r="A64" s="25" t="s">
        <v>526</v>
      </c>
      <c r="B64" s="26" t="s">
        <v>527</v>
      </c>
      <c r="C64" s="27" t="s">
        <v>401</v>
      </c>
      <c r="D64" s="50">
        <v>220800</v>
      </c>
      <c r="E64" s="30">
        <f>+(D64-$P64)/$P64</f>
        <v>-0.36912483213806108</v>
      </c>
      <c r="F64" s="50">
        <f t="shared" si="10"/>
        <v>9200</v>
      </c>
      <c r="G64" s="50">
        <v>220800</v>
      </c>
      <c r="H64" s="30">
        <f>+(G64-$P64)/$P64</f>
        <v>-0.36912483213806108</v>
      </c>
      <c r="I64" s="50">
        <f t="shared" si="11"/>
        <v>9200</v>
      </c>
      <c r="J64" s="50">
        <v>220800</v>
      </c>
      <c r="K64" s="30">
        <f>+(J64-$P64)/$P64</f>
        <v>-0.36912483213806108</v>
      </c>
      <c r="L64" s="50">
        <f t="shared" si="12"/>
        <v>18400</v>
      </c>
      <c r="M64" s="50">
        <v>244800</v>
      </c>
      <c r="N64" s="30">
        <f t="shared" si="13"/>
        <v>-0.30055144432698078</v>
      </c>
      <c r="O64" s="50">
        <f t="shared" si="14"/>
        <v>20400</v>
      </c>
      <c r="P64" s="50">
        <v>349990</v>
      </c>
      <c r="Q64" t="s">
        <v>777</v>
      </c>
      <c r="R64" t="e">
        <f>VLOOKUP(B64,#REF!,1,0)</f>
        <v>#REF!</v>
      </c>
      <c r="S64" s="50">
        <v>-20000</v>
      </c>
      <c r="T64" s="50">
        <v>500</v>
      </c>
      <c r="U64" s="50">
        <v>-11000</v>
      </c>
      <c r="V64" s="50">
        <v>-20000</v>
      </c>
      <c r="W64" s="50">
        <v>500</v>
      </c>
      <c r="X64" s="50">
        <v>-11000</v>
      </c>
      <c r="Y64" s="50">
        <v>-20000</v>
      </c>
      <c r="Z64" s="50">
        <v>500</v>
      </c>
      <c r="AA64" s="50">
        <v>-11000</v>
      </c>
      <c r="AB64" s="50">
        <v>-7200</v>
      </c>
      <c r="AC64" s="50">
        <v>-2.0572016343324062E-2</v>
      </c>
      <c r="AD64" s="50">
        <v>-300</v>
      </c>
      <c r="AE64" s="50">
        <v>-7200</v>
      </c>
      <c r="AF64" s="50">
        <v>-2.0572016343324062E-2</v>
      </c>
      <c r="AG64" s="50">
        <v>-300</v>
      </c>
      <c r="AH64" s="50">
        <v>-7200</v>
      </c>
      <c r="AI64" s="50">
        <v>-2.0572016343324062E-2</v>
      </c>
      <c r="AJ64" s="50">
        <v>-600</v>
      </c>
      <c r="AK64" s="50">
        <v>-19200</v>
      </c>
      <c r="AL64" s="50">
        <v>-5.4858710248864268E-2</v>
      </c>
      <c r="AM64" s="50">
        <v>-19200</v>
      </c>
      <c r="AN64" s="50">
        <v>-5.4858710248864268E-2</v>
      </c>
      <c r="AO64" s="50">
        <v>-1600</v>
      </c>
      <c r="AP64" s="50">
        <v>0</v>
      </c>
      <c r="AQ64" s="50">
        <v>0</v>
      </c>
      <c r="AR64" s="50">
        <v>0</v>
      </c>
      <c r="AT64" s="50">
        <v>109990</v>
      </c>
      <c r="AU64" s="50">
        <v>13100</v>
      </c>
      <c r="AV64" s="50">
        <v>345790</v>
      </c>
      <c r="AW64" s="50">
        <v>109990</v>
      </c>
      <c r="AX64" s="50">
        <v>13100</v>
      </c>
      <c r="AY64" s="50">
        <v>345790</v>
      </c>
      <c r="AZ64" s="50">
        <v>109990</v>
      </c>
      <c r="BA64" s="50">
        <v>13100</v>
      </c>
      <c r="BB64" s="50">
        <v>345790</v>
      </c>
      <c r="BC64" s="50">
        <v>228000</v>
      </c>
      <c r="BD64" s="50">
        <v>-0.34855281579473701</v>
      </c>
      <c r="BE64" s="50">
        <v>9500</v>
      </c>
      <c r="BF64" s="50">
        <v>228000</v>
      </c>
      <c r="BG64" s="50">
        <v>-0.34855281579473701</v>
      </c>
      <c r="BH64" s="50">
        <v>9500</v>
      </c>
      <c r="BI64" s="50">
        <v>228000</v>
      </c>
      <c r="BJ64" s="50">
        <v>-0.34855281579473701</v>
      </c>
      <c r="BK64" s="50">
        <v>19000</v>
      </c>
      <c r="BL64" s="50">
        <v>264000</v>
      </c>
      <c r="BM64" s="50">
        <v>-0.24569273407811651</v>
      </c>
      <c r="BN64" s="50">
        <v>264000</v>
      </c>
      <c r="BO64" s="50">
        <v>-0.24569273407811651</v>
      </c>
      <c r="BP64" s="50">
        <v>22000</v>
      </c>
      <c r="BQ64" s="50">
        <v>349990</v>
      </c>
      <c r="BR64" s="50" t="s">
        <v>988</v>
      </c>
      <c r="BS64" s="50" t="s">
        <v>989</v>
      </c>
    </row>
    <row r="65" spans="1:71" ht="15.75" customHeight="1" x14ac:dyDescent="0.2">
      <c r="A65" s="25" t="s">
        <v>528</v>
      </c>
      <c r="B65" s="26" t="s">
        <v>529</v>
      </c>
      <c r="C65" s="27" t="s">
        <v>44</v>
      </c>
      <c r="D65" s="50">
        <v>168000</v>
      </c>
      <c r="E65" s="30">
        <f>+(D65-$P65)/$P65</f>
        <v>-0.51998628532243774</v>
      </c>
      <c r="F65" s="50">
        <f t="shared" si="10"/>
        <v>7000</v>
      </c>
      <c r="G65" s="50">
        <v>168000</v>
      </c>
      <c r="H65" s="30">
        <f>+(G65-$P65)/$P65</f>
        <v>-0.51998628532243774</v>
      </c>
      <c r="I65" s="50">
        <f t="shared" si="11"/>
        <v>7000</v>
      </c>
      <c r="J65" s="50">
        <v>168000</v>
      </c>
      <c r="K65" s="30">
        <f>+(J65-$P65)/$P65</f>
        <v>-0.51998628532243774</v>
      </c>
      <c r="L65" s="50">
        <f t="shared" si="12"/>
        <v>14000</v>
      </c>
      <c r="M65" s="50">
        <v>184800</v>
      </c>
      <c r="N65" s="30">
        <f t="shared" si="13"/>
        <v>-0.47198491385468155</v>
      </c>
      <c r="O65" s="50">
        <f t="shared" si="14"/>
        <v>15400</v>
      </c>
      <c r="P65" s="50">
        <v>349990</v>
      </c>
      <c r="Q65" t="s">
        <v>778</v>
      </c>
      <c r="R65" t="e">
        <f>VLOOKUP(B65,#REF!,1,0)</f>
        <v>#REF!</v>
      </c>
      <c r="S65" s="50">
        <v>94000</v>
      </c>
      <c r="T65" s="50">
        <v>-5200</v>
      </c>
      <c r="U65" s="50">
        <v>400</v>
      </c>
      <c r="V65" s="50">
        <v>94000</v>
      </c>
      <c r="W65" s="50">
        <v>-5200</v>
      </c>
      <c r="X65" s="50">
        <v>400</v>
      </c>
      <c r="Y65" s="50">
        <v>94000</v>
      </c>
      <c r="Z65" s="50">
        <v>-5200</v>
      </c>
      <c r="AA65" s="50">
        <v>400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50">
        <v>0</v>
      </c>
      <c r="AH65" s="50">
        <v>0</v>
      </c>
      <c r="AI65" s="50">
        <v>0</v>
      </c>
      <c r="AJ65" s="50">
        <v>0</v>
      </c>
      <c r="AK65" s="50">
        <v>0</v>
      </c>
      <c r="AL65" s="50">
        <v>0</v>
      </c>
      <c r="AM65" s="50">
        <v>0</v>
      </c>
      <c r="AN65" s="50">
        <v>0</v>
      </c>
      <c r="AO65" s="50">
        <v>0</v>
      </c>
      <c r="AP65" s="50">
        <v>0</v>
      </c>
      <c r="AQ65" s="50">
        <v>0</v>
      </c>
      <c r="AR65" s="50">
        <v>0</v>
      </c>
      <c r="AT65" s="50">
        <v>139990</v>
      </c>
      <c r="AU65" s="50">
        <v>7500</v>
      </c>
      <c r="AV65" s="50">
        <v>274990</v>
      </c>
      <c r="AW65" s="50">
        <v>139990</v>
      </c>
      <c r="AX65" s="50">
        <v>7500</v>
      </c>
      <c r="AY65" s="50">
        <v>274990</v>
      </c>
      <c r="AZ65" s="50">
        <v>139990</v>
      </c>
      <c r="BA65" s="50">
        <v>7500</v>
      </c>
      <c r="BB65" s="50">
        <v>274990</v>
      </c>
      <c r="BC65" s="50">
        <v>168000</v>
      </c>
      <c r="BD65" s="50">
        <v>-0.51998628532243774</v>
      </c>
      <c r="BE65" s="50">
        <v>7000</v>
      </c>
      <c r="BF65" s="50">
        <v>168000</v>
      </c>
      <c r="BG65" s="50">
        <v>-0.51998628532243774</v>
      </c>
      <c r="BH65" s="50">
        <v>7000</v>
      </c>
      <c r="BI65" s="50">
        <v>168000</v>
      </c>
      <c r="BJ65" s="50">
        <v>-0.51998628532243774</v>
      </c>
      <c r="BK65" s="50">
        <v>14000</v>
      </c>
      <c r="BL65" s="50">
        <v>184800</v>
      </c>
      <c r="BM65" s="50">
        <v>-0.47198491385468155</v>
      </c>
      <c r="BN65" s="50">
        <v>184800</v>
      </c>
      <c r="BO65" s="50">
        <v>-0.47198491385468155</v>
      </c>
      <c r="BP65" s="50">
        <v>15400</v>
      </c>
      <c r="BQ65" s="50">
        <v>349990</v>
      </c>
      <c r="BR65" s="50" t="s">
        <v>988</v>
      </c>
      <c r="BS65" s="50" t="s">
        <v>989</v>
      </c>
    </row>
    <row r="66" spans="1:71" ht="15.75" customHeight="1" x14ac:dyDescent="0.2">
      <c r="A66" s="25" t="s">
        <v>530</v>
      </c>
      <c r="B66" s="26" t="s">
        <v>531</v>
      </c>
      <c r="C66" s="27" t="s">
        <v>401</v>
      </c>
      <c r="D66" s="50">
        <v>220800</v>
      </c>
      <c r="E66" s="30">
        <f>+(D66-$P66)/$P66</f>
        <v>-0.36912483213806108</v>
      </c>
      <c r="F66" s="50">
        <f t="shared" si="10"/>
        <v>9200</v>
      </c>
      <c r="G66" s="50">
        <v>220800</v>
      </c>
      <c r="H66" s="30">
        <f>+(G66-$P66)/$P66</f>
        <v>-0.36912483213806108</v>
      </c>
      <c r="I66" s="50">
        <f t="shared" si="11"/>
        <v>9200</v>
      </c>
      <c r="J66" s="50">
        <v>220800</v>
      </c>
      <c r="K66" s="30">
        <f>+(J66-$P66)/$P66</f>
        <v>-0.36912483213806108</v>
      </c>
      <c r="L66" s="50">
        <f t="shared" si="12"/>
        <v>18400</v>
      </c>
      <c r="M66" s="50">
        <v>244800</v>
      </c>
      <c r="N66" s="30">
        <f t="shared" si="13"/>
        <v>-0.30055144432698078</v>
      </c>
      <c r="O66" s="50">
        <f t="shared" si="14"/>
        <v>20400</v>
      </c>
      <c r="P66" s="50">
        <v>349990</v>
      </c>
      <c r="Q66" t="s">
        <v>777</v>
      </c>
      <c r="R66" t="e">
        <f>VLOOKUP(B66,#REF!,1,0)</f>
        <v>#REF!</v>
      </c>
      <c r="S66" s="50">
        <v>-81000</v>
      </c>
      <c r="T66" s="50">
        <v>3900</v>
      </c>
      <c r="U66" s="50">
        <v>-10800</v>
      </c>
      <c r="V66" s="50">
        <v>-81000</v>
      </c>
      <c r="W66" s="50">
        <v>3900</v>
      </c>
      <c r="X66" s="50">
        <v>-10800</v>
      </c>
      <c r="Y66" s="50">
        <v>-81000</v>
      </c>
      <c r="Z66" s="50">
        <v>3900</v>
      </c>
      <c r="AA66" s="50">
        <v>-10800</v>
      </c>
      <c r="AB66" s="50">
        <v>-7200</v>
      </c>
      <c r="AC66" s="50">
        <v>-2.0572016343324062E-2</v>
      </c>
      <c r="AD66" s="50">
        <v>-300</v>
      </c>
      <c r="AE66" s="50">
        <v>-7200</v>
      </c>
      <c r="AF66" s="50">
        <v>-2.0572016343324062E-2</v>
      </c>
      <c r="AG66" s="50">
        <v>-300</v>
      </c>
      <c r="AH66" s="50">
        <v>-7200</v>
      </c>
      <c r="AI66" s="50">
        <v>-2.0572016343324062E-2</v>
      </c>
      <c r="AJ66" s="50">
        <v>-600</v>
      </c>
      <c r="AK66" s="50">
        <v>-19200</v>
      </c>
      <c r="AL66" s="50">
        <v>-5.4858710248864268E-2</v>
      </c>
      <c r="AM66" s="50">
        <v>-19200</v>
      </c>
      <c r="AN66" s="50">
        <v>-5.4858710248864268E-2</v>
      </c>
      <c r="AO66" s="50">
        <v>-1600</v>
      </c>
      <c r="AP66" s="50">
        <v>0</v>
      </c>
      <c r="AQ66" s="50">
        <v>0</v>
      </c>
      <c r="AR66" s="50">
        <v>0</v>
      </c>
      <c r="AT66" s="50">
        <v>109990</v>
      </c>
      <c r="AU66" s="50">
        <v>13100</v>
      </c>
      <c r="AV66" s="50">
        <v>345790</v>
      </c>
      <c r="AW66" s="50">
        <v>109990</v>
      </c>
      <c r="AX66" s="50">
        <v>13100</v>
      </c>
      <c r="AY66" s="50">
        <v>345790</v>
      </c>
      <c r="AZ66" s="50">
        <v>109990</v>
      </c>
      <c r="BA66" s="50">
        <v>13100</v>
      </c>
      <c r="BB66" s="50">
        <v>345790</v>
      </c>
      <c r="BC66" s="50">
        <v>228000</v>
      </c>
      <c r="BD66" s="50">
        <v>-0.34855281579473701</v>
      </c>
      <c r="BE66" s="50">
        <v>9500</v>
      </c>
      <c r="BF66" s="50">
        <v>228000</v>
      </c>
      <c r="BG66" s="50">
        <v>-0.34855281579473701</v>
      </c>
      <c r="BH66" s="50">
        <v>9500</v>
      </c>
      <c r="BI66" s="50">
        <v>228000</v>
      </c>
      <c r="BJ66" s="50">
        <v>-0.34855281579473701</v>
      </c>
      <c r="BK66" s="50">
        <v>19000</v>
      </c>
      <c r="BL66" s="50">
        <v>264000</v>
      </c>
      <c r="BM66" s="50">
        <v>-0.24569273407811651</v>
      </c>
      <c r="BN66" s="50">
        <v>264000</v>
      </c>
      <c r="BO66" s="50">
        <v>-0.24569273407811651</v>
      </c>
      <c r="BP66" s="50">
        <v>22000</v>
      </c>
      <c r="BQ66" s="50">
        <v>349990</v>
      </c>
      <c r="BR66" s="50" t="s">
        <v>988</v>
      </c>
      <c r="BS66" s="50" t="s">
        <v>989</v>
      </c>
    </row>
    <row r="67" spans="1:71" ht="15.75" customHeight="1" x14ac:dyDescent="0.2">
      <c r="A67" s="25" t="s">
        <v>532</v>
      </c>
      <c r="B67" s="26" t="s">
        <v>533</v>
      </c>
      <c r="C67" s="27" t="s">
        <v>401</v>
      </c>
      <c r="D67" s="50">
        <v>220800</v>
      </c>
      <c r="E67" s="30">
        <f>+(D67-$P67)/$P67</f>
        <v>-0.36912483213806108</v>
      </c>
      <c r="F67" s="50">
        <f t="shared" si="10"/>
        <v>9200</v>
      </c>
      <c r="G67" s="50">
        <v>220800</v>
      </c>
      <c r="H67" s="30">
        <f>+(G67-$P67)/$P67</f>
        <v>-0.36912483213806108</v>
      </c>
      <c r="I67" s="50">
        <f t="shared" si="11"/>
        <v>9200</v>
      </c>
      <c r="J67" s="50">
        <v>220800</v>
      </c>
      <c r="K67" s="30">
        <f>+(J67-$P67)/$P67</f>
        <v>-0.36912483213806108</v>
      </c>
      <c r="L67" s="50">
        <f t="shared" si="12"/>
        <v>18400</v>
      </c>
      <c r="M67" s="50">
        <v>244800</v>
      </c>
      <c r="N67" s="30">
        <f t="shared" si="13"/>
        <v>-0.30055144432698078</v>
      </c>
      <c r="O67" s="50">
        <f t="shared" si="14"/>
        <v>20400</v>
      </c>
      <c r="P67" s="50">
        <v>349990</v>
      </c>
      <c r="Q67" t="s">
        <v>777</v>
      </c>
      <c r="R67" t="e">
        <f>VLOOKUP(B67,#REF!,1,0)</f>
        <v>#REF!</v>
      </c>
      <c r="S67" s="50">
        <v>-81000</v>
      </c>
      <c r="T67" s="50">
        <v>3900</v>
      </c>
      <c r="U67" s="50">
        <v>-10800</v>
      </c>
      <c r="V67" s="50">
        <v>-81000</v>
      </c>
      <c r="W67" s="50">
        <v>3900</v>
      </c>
      <c r="X67" s="50">
        <v>-10800</v>
      </c>
      <c r="Y67" s="50">
        <v>-81000</v>
      </c>
      <c r="Z67" s="50">
        <v>3900</v>
      </c>
      <c r="AA67" s="50">
        <v>-10800</v>
      </c>
      <c r="AB67" s="50">
        <v>-7200</v>
      </c>
      <c r="AC67" s="50">
        <v>-2.0572016343324062E-2</v>
      </c>
      <c r="AD67" s="50">
        <v>-300</v>
      </c>
      <c r="AE67" s="50">
        <v>-7200</v>
      </c>
      <c r="AF67" s="50">
        <v>-2.0572016343324062E-2</v>
      </c>
      <c r="AG67" s="50">
        <v>-300</v>
      </c>
      <c r="AH67" s="50">
        <v>-7200</v>
      </c>
      <c r="AI67" s="50">
        <v>-2.0572016343324062E-2</v>
      </c>
      <c r="AJ67" s="50">
        <v>-600</v>
      </c>
      <c r="AK67" s="50">
        <v>-19200</v>
      </c>
      <c r="AL67" s="50">
        <v>-5.4858710248864268E-2</v>
      </c>
      <c r="AM67" s="50">
        <v>-19200</v>
      </c>
      <c r="AN67" s="50">
        <v>-5.4858710248864268E-2</v>
      </c>
      <c r="AO67" s="50">
        <v>-1600</v>
      </c>
      <c r="AP67" s="50">
        <v>0</v>
      </c>
      <c r="AQ67" s="50">
        <v>0</v>
      </c>
      <c r="AR67" s="50">
        <v>0</v>
      </c>
      <c r="AT67" s="50">
        <v>109990</v>
      </c>
      <c r="AU67" s="50">
        <v>13100</v>
      </c>
      <c r="AV67" s="50">
        <v>345790</v>
      </c>
      <c r="AW67" s="50">
        <v>109990</v>
      </c>
      <c r="AX67" s="50">
        <v>13100</v>
      </c>
      <c r="AY67" s="50">
        <v>345790</v>
      </c>
      <c r="AZ67" s="50">
        <v>109990</v>
      </c>
      <c r="BA67" s="50">
        <v>13100</v>
      </c>
      <c r="BB67" s="50">
        <v>345790</v>
      </c>
      <c r="BC67" s="50">
        <v>228000</v>
      </c>
      <c r="BD67" s="50">
        <v>-0.34855281579473701</v>
      </c>
      <c r="BE67" s="50">
        <v>9500</v>
      </c>
      <c r="BF67" s="50">
        <v>228000</v>
      </c>
      <c r="BG67" s="50">
        <v>-0.34855281579473701</v>
      </c>
      <c r="BH67" s="50">
        <v>9500</v>
      </c>
      <c r="BI67" s="50">
        <v>228000</v>
      </c>
      <c r="BJ67" s="50">
        <v>-0.34855281579473701</v>
      </c>
      <c r="BK67" s="50">
        <v>19000</v>
      </c>
      <c r="BL67" s="50">
        <v>264000</v>
      </c>
      <c r="BM67" s="50">
        <v>-0.24569273407811651</v>
      </c>
      <c r="BN67" s="50">
        <v>264000</v>
      </c>
      <c r="BO67" s="50">
        <v>-0.24569273407811651</v>
      </c>
      <c r="BP67" s="50">
        <v>22000</v>
      </c>
      <c r="BQ67" s="50">
        <v>349990</v>
      </c>
      <c r="BR67" s="50" t="s">
        <v>988</v>
      </c>
      <c r="BS67" s="50" t="s">
        <v>989</v>
      </c>
    </row>
    <row r="68" spans="1:71" ht="15.75" customHeight="1" x14ac:dyDescent="0.2">
      <c r="A68" s="25" t="s">
        <v>534</v>
      </c>
      <c r="B68" s="26" t="s">
        <v>535</v>
      </c>
      <c r="C68" s="27" t="s">
        <v>401</v>
      </c>
      <c r="D68" s="50">
        <v>213600</v>
      </c>
      <c r="E68" s="30">
        <f>+(D68-$P68)/$P68</f>
        <v>-0.38969684848138519</v>
      </c>
      <c r="F68" s="50">
        <f t="shared" si="10"/>
        <v>8900</v>
      </c>
      <c r="G68" s="50">
        <v>213600</v>
      </c>
      <c r="H68" s="30">
        <f>+(G68-$P68)/$P68</f>
        <v>-0.38969684848138519</v>
      </c>
      <c r="I68" s="50">
        <f t="shared" si="11"/>
        <v>8900</v>
      </c>
      <c r="J68" s="50">
        <v>213600</v>
      </c>
      <c r="K68" s="30">
        <f>+(J68-$P68)/$P68</f>
        <v>-0.38969684848138519</v>
      </c>
      <c r="L68" s="50">
        <f t="shared" si="12"/>
        <v>17800</v>
      </c>
      <c r="M68" s="50">
        <v>237600</v>
      </c>
      <c r="N68" s="30">
        <f t="shared" si="13"/>
        <v>-0.32112346067030484</v>
      </c>
      <c r="O68" s="50">
        <f t="shared" si="14"/>
        <v>19800</v>
      </c>
      <c r="P68" s="50">
        <v>349990</v>
      </c>
      <c r="Q68" t="s">
        <v>779</v>
      </c>
      <c r="R68" t="e">
        <f>VLOOKUP(B68,#REF!,1,0)</f>
        <v>#REF!</v>
      </c>
      <c r="S68" s="50">
        <v>-61000</v>
      </c>
      <c r="T68" s="50">
        <v>3500</v>
      </c>
      <c r="U68" s="50">
        <v>2000</v>
      </c>
      <c r="V68" s="50">
        <v>-61000</v>
      </c>
      <c r="W68" s="50">
        <v>3500</v>
      </c>
      <c r="X68" s="50">
        <v>2000</v>
      </c>
      <c r="Y68" s="50">
        <v>-61000</v>
      </c>
      <c r="Z68" s="50">
        <v>3500</v>
      </c>
      <c r="AA68" s="50">
        <v>2000</v>
      </c>
      <c r="AB68" s="50">
        <v>0</v>
      </c>
      <c r="AC68" s="50">
        <v>0</v>
      </c>
      <c r="AD68" s="50">
        <v>0</v>
      </c>
      <c r="AE68" s="50">
        <v>0</v>
      </c>
      <c r="AF68" s="50">
        <v>0</v>
      </c>
      <c r="AG68" s="50">
        <v>0</v>
      </c>
      <c r="AH68" s="50">
        <v>0</v>
      </c>
      <c r="AI68" s="50">
        <v>0</v>
      </c>
      <c r="AJ68" s="50">
        <v>0</v>
      </c>
      <c r="AK68" s="50">
        <v>-28800</v>
      </c>
      <c r="AL68" s="50">
        <v>-8.228806537329636E-2</v>
      </c>
      <c r="AM68" s="50">
        <v>-28800</v>
      </c>
      <c r="AN68" s="50">
        <v>-8.228806537329636E-2</v>
      </c>
      <c r="AO68" s="50">
        <v>-2400</v>
      </c>
      <c r="AP68" s="50">
        <v>0</v>
      </c>
      <c r="AQ68" s="50">
        <v>0</v>
      </c>
      <c r="AR68" s="50">
        <v>0</v>
      </c>
      <c r="AT68" s="50">
        <v>99990</v>
      </c>
      <c r="AU68" s="50">
        <v>10300</v>
      </c>
      <c r="AV68" s="50">
        <v>285390</v>
      </c>
      <c r="AW68" s="50">
        <v>99990</v>
      </c>
      <c r="AX68" s="50">
        <v>10300</v>
      </c>
      <c r="AY68" s="50">
        <v>285390</v>
      </c>
      <c r="AZ68" s="50">
        <v>99990</v>
      </c>
      <c r="BA68" s="50">
        <v>10300</v>
      </c>
      <c r="BB68" s="50">
        <v>285390</v>
      </c>
      <c r="BC68" s="50">
        <v>213600</v>
      </c>
      <c r="BD68" s="50">
        <v>-0.38969684848138519</v>
      </c>
      <c r="BE68" s="50">
        <v>8900</v>
      </c>
      <c r="BF68" s="50">
        <v>213600</v>
      </c>
      <c r="BG68" s="50">
        <v>-0.38969684848138519</v>
      </c>
      <c r="BH68" s="50">
        <v>8900</v>
      </c>
      <c r="BI68" s="50">
        <v>213600</v>
      </c>
      <c r="BJ68" s="50">
        <v>-0.38969684848138519</v>
      </c>
      <c r="BK68" s="50">
        <v>17800</v>
      </c>
      <c r="BL68" s="50">
        <v>266400</v>
      </c>
      <c r="BM68" s="50">
        <v>-0.23883539529700848</v>
      </c>
      <c r="BN68" s="50">
        <v>266400</v>
      </c>
      <c r="BO68" s="50">
        <v>-0.23883539529700848</v>
      </c>
      <c r="BP68" s="50">
        <v>22200</v>
      </c>
      <c r="BQ68" s="50">
        <v>349990</v>
      </c>
      <c r="BR68" s="50" t="s">
        <v>988</v>
      </c>
      <c r="BS68" s="50" t="s">
        <v>989</v>
      </c>
    </row>
    <row r="69" spans="1:71" ht="15.75" customHeight="1" x14ac:dyDescent="0.2">
      <c r="A69" s="25" t="s">
        <v>536</v>
      </c>
      <c r="B69" s="26" t="s">
        <v>537</v>
      </c>
      <c r="C69" s="27" t="s">
        <v>401</v>
      </c>
      <c r="D69" s="50">
        <v>213600</v>
      </c>
      <c r="E69" s="30">
        <f>+(D69-$P69)/$P69</f>
        <v>-0.38969684848138519</v>
      </c>
      <c r="F69" s="50">
        <f t="shared" si="10"/>
        <v>8900</v>
      </c>
      <c r="G69" s="50">
        <v>213600</v>
      </c>
      <c r="H69" s="30">
        <f>+(G69-$P69)/$P69</f>
        <v>-0.38969684848138519</v>
      </c>
      <c r="I69" s="50">
        <f t="shared" si="11"/>
        <v>8900</v>
      </c>
      <c r="J69" s="50">
        <v>213600</v>
      </c>
      <c r="K69" s="30">
        <f>+(J69-$P69)/$P69</f>
        <v>-0.38969684848138519</v>
      </c>
      <c r="L69" s="50">
        <f t="shared" si="12"/>
        <v>17800</v>
      </c>
      <c r="M69" s="50">
        <v>237600</v>
      </c>
      <c r="N69" s="30">
        <f t="shared" si="13"/>
        <v>-0.32112346067030484</v>
      </c>
      <c r="O69" s="50">
        <f t="shared" si="14"/>
        <v>19800</v>
      </c>
      <c r="P69" s="50">
        <v>349990</v>
      </c>
      <c r="Q69" t="s">
        <v>779</v>
      </c>
      <c r="R69" t="e">
        <f>VLOOKUP(B69,#REF!,1,0)</f>
        <v>#REF!</v>
      </c>
      <c r="S69" s="50">
        <v>-61000</v>
      </c>
      <c r="T69" s="50">
        <v>3500</v>
      </c>
      <c r="U69" s="50">
        <v>2000</v>
      </c>
      <c r="V69" s="50">
        <v>-61000</v>
      </c>
      <c r="W69" s="50">
        <v>3500</v>
      </c>
      <c r="X69" s="50">
        <v>2000</v>
      </c>
      <c r="Y69" s="50">
        <v>-61000</v>
      </c>
      <c r="Z69" s="50">
        <v>3500</v>
      </c>
      <c r="AA69" s="50">
        <v>2000</v>
      </c>
      <c r="AB69" s="50">
        <v>0</v>
      </c>
      <c r="AC69" s="50">
        <v>0</v>
      </c>
      <c r="AD69" s="50">
        <v>0</v>
      </c>
      <c r="AE69" s="50">
        <v>0</v>
      </c>
      <c r="AF69" s="50">
        <v>0</v>
      </c>
      <c r="AG69" s="50">
        <v>0</v>
      </c>
      <c r="AH69" s="50">
        <v>0</v>
      </c>
      <c r="AI69" s="50">
        <v>0</v>
      </c>
      <c r="AJ69" s="50">
        <v>0</v>
      </c>
      <c r="AK69" s="50">
        <v>-28800</v>
      </c>
      <c r="AL69" s="50">
        <v>-8.228806537329636E-2</v>
      </c>
      <c r="AM69" s="50">
        <v>-28800</v>
      </c>
      <c r="AN69" s="50">
        <v>-8.228806537329636E-2</v>
      </c>
      <c r="AO69" s="50">
        <v>-2400</v>
      </c>
      <c r="AP69" s="50">
        <v>0</v>
      </c>
      <c r="AQ69" s="50">
        <v>0</v>
      </c>
      <c r="AR69" s="50">
        <v>0</v>
      </c>
      <c r="AT69" s="50">
        <v>99990</v>
      </c>
      <c r="AU69" s="50">
        <v>10300</v>
      </c>
      <c r="AV69" s="50">
        <v>285390</v>
      </c>
      <c r="AW69" s="50">
        <v>99990</v>
      </c>
      <c r="AX69" s="50">
        <v>10300</v>
      </c>
      <c r="AY69" s="50">
        <v>285390</v>
      </c>
      <c r="AZ69" s="50">
        <v>99990</v>
      </c>
      <c r="BA69" s="50">
        <v>10300</v>
      </c>
      <c r="BB69" s="50">
        <v>285390</v>
      </c>
      <c r="BC69" s="50">
        <v>213600</v>
      </c>
      <c r="BD69" s="50">
        <v>-0.38969684848138519</v>
      </c>
      <c r="BE69" s="50">
        <v>8900</v>
      </c>
      <c r="BF69" s="50">
        <v>213600</v>
      </c>
      <c r="BG69" s="50">
        <v>-0.38969684848138519</v>
      </c>
      <c r="BH69" s="50">
        <v>8900</v>
      </c>
      <c r="BI69" s="50">
        <v>213600</v>
      </c>
      <c r="BJ69" s="50">
        <v>-0.38969684848138519</v>
      </c>
      <c r="BK69" s="50">
        <v>17800</v>
      </c>
      <c r="BL69" s="50">
        <v>266400</v>
      </c>
      <c r="BM69" s="50">
        <v>-0.23883539529700848</v>
      </c>
      <c r="BN69" s="50">
        <v>266400</v>
      </c>
      <c r="BO69" s="50">
        <v>-0.23883539529700848</v>
      </c>
      <c r="BP69" s="50">
        <v>22200</v>
      </c>
      <c r="BQ69" s="50">
        <v>349990</v>
      </c>
      <c r="BR69" s="50" t="s">
        <v>988</v>
      </c>
      <c r="BS69" s="50" t="s">
        <v>989</v>
      </c>
    </row>
    <row r="70" spans="1:71" ht="15.75" customHeight="1" x14ac:dyDescent="0.2">
      <c r="A70" s="25" t="s">
        <v>538</v>
      </c>
      <c r="B70" s="26" t="s">
        <v>539</v>
      </c>
      <c r="C70" s="27" t="s">
        <v>401</v>
      </c>
      <c r="D70" s="50">
        <v>199200</v>
      </c>
      <c r="E70" s="30">
        <f>+(D70-$P70)/$P70</f>
        <v>-0.43084088116803337</v>
      </c>
      <c r="F70" s="50">
        <f t="shared" si="10"/>
        <v>8300</v>
      </c>
      <c r="G70" s="50">
        <v>199200</v>
      </c>
      <c r="H70" s="30">
        <f>+(G70-$P70)/$P70</f>
        <v>-0.43084088116803337</v>
      </c>
      <c r="I70" s="50">
        <f t="shared" si="11"/>
        <v>8300</v>
      </c>
      <c r="J70" s="50">
        <v>199200</v>
      </c>
      <c r="K70" s="30">
        <f>+(J70-$P70)/$P70</f>
        <v>-0.43084088116803337</v>
      </c>
      <c r="L70" s="50">
        <f t="shared" si="12"/>
        <v>16600</v>
      </c>
      <c r="M70" s="50">
        <v>223200</v>
      </c>
      <c r="N70" s="30">
        <f t="shared" si="13"/>
        <v>-0.36226749335695307</v>
      </c>
      <c r="O70" s="50">
        <f t="shared" si="14"/>
        <v>18600</v>
      </c>
      <c r="P70" s="50">
        <v>349990</v>
      </c>
      <c r="Q70" t="s">
        <v>780</v>
      </c>
      <c r="R70" t="e">
        <f>VLOOKUP(B70,#REF!,1,0)</f>
        <v>#REF!</v>
      </c>
      <c r="S70" s="50">
        <v>-82000</v>
      </c>
      <c r="T70" s="50">
        <v>4600</v>
      </c>
      <c r="U70" s="50">
        <v>800</v>
      </c>
      <c r="V70" s="50">
        <v>-82000</v>
      </c>
      <c r="W70" s="50">
        <v>4600</v>
      </c>
      <c r="X70" s="50">
        <v>800</v>
      </c>
      <c r="Y70" s="50">
        <v>-82000</v>
      </c>
      <c r="Z70" s="50">
        <v>4600</v>
      </c>
      <c r="AA70" s="50">
        <v>800</v>
      </c>
      <c r="AB70" s="50">
        <v>0</v>
      </c>
      <c r="AC70" s="50">
        <v>0</v>
      </c>
      <c r="AD70" s="50">
        <v>0</v>
      </c>
      <c r="AE70" s="50">
        <v>0</v>
      </c>
      <c r="AF70" s="50">
        <v>0</v>
      </c>
      <c r="AG70" s="50">
        <v>0</v>
      </c>
      <c r="AH70" s="50">
        <v>0</v>
      </c>
      <c r="AI70" s="50">
        <v>0</v>
      </c>
      <c r="AJ70" s="50">
        <v>0</v>
      </c>
      <c r="AK70" s="50">
        <v>7200</v>
      </c>
      <c r="AL70" s="50">
        <v>2.0572016343324062E-2</v>
      </c>
      <c r="AM70" s="50">
        <v>7200</v>
      </c>
      <c r="AN70" s="50">
        <v>2.0572016343324062E-2</v>
      </c>
      <c r="AO70" s="50">
        <v>600</v>
      </c>
      <c r="AP70" s="50">
        <v>0</v>
      </c>
      <c r="AQ70" s="50">
        <v>0</v>
      </c>
      <c r="AR70" s="50">
        <v>0</v>
      </c>
      <c r="AT70" s="50">
        <v>69990</v>
      </c>
      <c r="AU70" s="50">
        <v>12200</v>
      </c>
      <c r="AV70" s="50">
        <v>289590</v>
      </c>
      <c r="AW70" s="50">
        <v>69990</v>
      </c>
      <c r="AX70" s="50">
        <v>12200</v>
      </c>
      <c r="AY70" s="50">
        <v>289590</v>
      </c>
      <c r="AZ70" s="50">
        <v>69990</v>
      </c>
      <c r="BA70" s="50">
        <v>12200</v>
      </c>
      <c r="BB70" s="50">
        <v>289590</v>
      </c>
      <c r="BC70" s="50">
        <v>199200</v>
      </c>
      <c r="BD70" s="50">
        <v>-0.43084088116803337</v>
      </c>
      <c r="BE70" s="50">
        <v>8300</v>
      </c>
      <c r="BF70" s="50">
        <v>199200</v>
      </c>
      <c r="BG70" s="50">
        <v>-0.43084088116803337</v>
      </c>
      <c r="BH70" s="50">
        <v>8300</v>
      </c>
      <c r="BI70" s="50">
        <v>199200</v>
      </c>
      <c r="BJ70" s="50">
        <v>-0.43084088116803337</v>
      </c>
      <c r="BK70" s="50">
        <v>16600</v>
      </c>
      <c r="BL70" s="50">
        <v>216000</v>
      </c>
      <c r="BM70" s="50">
        <v>-0.38283950970027714</v>
      </c>
      <c r="BN70" s="50">
        <v>216000</v>
      </c>
      <c r="BO70" s="50">
        <v>-0.38283950970027714</v>
      </c>
      <c r="BP70" s="50">
        <v>18000</v>
      </c>
      <c r="BQ70" s="50">
        <v>349990</v>
      </c>
      <c r="BR70" s="50" t="s">
        <v>988</v>
      </c>
      <c r="BS70" s="50" t="s">
        <v>989</v>
      </c>
    </row>
    <row r="71" spans="1:71" ht="15.75" customHeight="1" x14ac:dyDescent="0.2">
      <c r="A71" s="25" t="s">
        <v>540</v>
      </c>
      <c r="B71" s="26" t="s">
        <v>541</v>
      </c>
      <c r="C71" s="27" t="s">
        <v>401</v>
      </c>
      <c r="D71" s="50">
        <v>199200</v>
      </c>
      <c r="E71" s="30">
        <f>+(D71-$P71)/$P71</f>
        <v>-0.43084088116803337</v>
      </c>
      <c r="F71" s="50">
        <f t="shared" si="10"/>
        <v>8300</v>
      </c>
      <c r="G71" s="50">
        <v>199200</v>
      </c>
      <c r="H71" s="30">
        <f>+(G71-$P71)/$P71</f>
        <v>-0.43084088116803337</v>
      </c>
      <c r="I71" s="50">
        <f t="shared" si="11"/>
        <v>8300</v>
      </c>
      <c r="J71" s="50">
        <v>199200</v>
      </c>
      <c r="K71" s="30">
        <f>+(J71-$P71)/$P71</f>
        <v>-0.43084088116803337</v>
      </c>
      <c r="L71" s="50">
        <f t="shared" si="12"/>
        <v>16600</v>
      </c>
      <c r="M71" s="50">
        <v>223200</v>
      </c>
      <c r="N71" s="30">
        <f t="shared" si="13"/>
        <v>-0.36226749335695307</v>
      </c>
      <c r="O71" s="50">
        <f t="shared" si="14"/>
        <v>18600</v>
      </c>
      <c r="P71" s="50">
        <v>349990</v>
      </c>
      <c r="Q71" t="s">
        <v>780</v>
      </c>
      <c r="R71" t="e">
        <f>VLOOKUP(B71,#REF!,1,0)</f>
        <v>#REF!</v>
      </c>
      <c r="S71" s="50">
        <v>-82000</v>
      </c>
      <c r="T71" s="50">
        <v>4600</v>
      </c>
      <c r="U71" s="50">
        <v>800</v>
      </c>
      <c r="V71" s="50">
        <v>-82000</v>
      </c>
      <c r="W71" s="50">
        <v>4600</v>
      </c>
      <c r="X71" s="50">
        <v>800</v>
      </c>
      <c r="Y71" s="50">
        <v>-82000</v>
      </c>
      <c r="Z71" s="50">
        <v>4600</v>
      </c>
      <c r="AA71" s="50">
        <v>800</v>
      </c>
      <c r="AB71" s="50">
        <v>0</v>
      </c>
      <c r="AC71" s="50">
        <v>0</v>
      </c>
      <c r="AD71" s="50">
        <v>0</v>
      </c>
      <c r="AE71" s="50">
        <v>0</v>
      </c>
      <c r="AF71" s="50">
        <v>0</v>
      </c>
      <c r="AG71" s="50">
        <v>0</v>
      </c>
      <c r="AH71" s="50">
        <v>0</v>
      </c>
      <c r="AI71" s="50">
        <v>0</v>
      </c>
      <c r="AJ71" s="50">
        <v>0</v>
      </c>
      <c r="AK71" s="50">
        <v>7200</v>
      </c>
      <c r="AL71" s="50">
        <v>2.0572016343324062E-2</v>
      </c>
      <c r="AM71" s="50">
        <v>7200</v>
      </c>
      <c r="AN71" s="50">
        <v>2.0572016343324062E-2</v>
      </c>
      <c r="AO71" s="50">
        <v>600</v>
      </c>
      <c r="AP71" s="50">
        <v>0</v>
      </c>
      <c r="AQ71" s="50">
        <v>0</v>
      </c>
      <c r="AR71" s="50">
        <v>0</v>
      </c>
      <c r="AT71" s="50">
        <v>69990</v>
      </c>
      <c r="AU71" s="50">
        <v>12200</v>
      </c>
      <c r="AV71" s="50">
        <v>289590</v>
      </c>
      <c r="AW71" s="50">
        <v>69990</v>
      </c>
      <c r="AX71" s="50">
        <v>12200</v>
      </c>
      <c r="AY71" s="50">
        <v>289590</v>
      </c>
      <c r="AZ71" s="50">
        <v>69990</v>
      </c>
      <c r="BA71" s="50">
        <v>12200</v>
      </c>
      <c r="BB71" s="50">
        <v>289590</v>
      </c>
      <c r="BC71" s="50">
        <v>199200</v>
      </c>
      <c r="BD71" s="50">
        <v>-0.43084088116803337</v>
      </c>
      <c r="BE71" s="50">
        <v>8300</v>
      </c>
      <c r="BF71" s="50">
        <v>199200</v>
      </c>
      <c r="BG71" s="50">
        <v>-0.43084088116803337</v>
      </c>
      <c r="BH71" s="50">
        <v>8300</v>
      </c>
      <c r="BI71" s="50">
        <v>199200</v>
      </c>
      <c r="BJ71" s="50">
        <v>-0.43084088116803337</v>
      </c>
      <c r="BK71" s="50">
        <v>16600</v>
      </c>
      <c r="BL71" s="50">
        <v>216000</v>
      </c>
      <c r="BM71" s="50">
        <v>-0.38283950970027714</v>
      </c>
      <c r="BN71" s="50">
        <v>216000</v>
      </c>
      <c r="BO71" s="50">
        <v>-0.38283950970027714</v>
      </c>
      <c r="BP71" s="50">
        <v>18000</v>
      </c>
      <c r="BQ71" s="50">
        <v>349990</v>
      </c>
      <c r="BR71" s="50" t="s">
        <v>988</v>
      </c>
      <c r="BS71" s="50" t="s">
        <v>989</v>
      </c>
    </row>
    <row r="72" spans="1:71" ht="15.75" customHeight="1" x14ac:dyDescent="0.2">
      <c r="A72" s="25" t="s">
        <v>542</v>
      </c>
      <c r="B72" s="26" t="s">
        <v>543</v>
      </c>
      <c r="C72" s="27" t="s">
        <v>401</v>
      </c>
      <c r="D72" s="50">
        <v>240000</v>
      </c>
      <c r="E72" s="30">
        <f>+(D72-$P72)/$P72</f>
        <v>-0.39998499962499062</v>
      </c>
      <c r="F72" s="50">
        <f t="shared" si="10"/>
        <v>10000</v>
      </c>
      <c r="G72" s="50">
        <v>240000</v>
      </c>
      <c r="H72" s="30">
        <f>+(G72-$P72)/$P72</f>
        <v>-0.39998499962499062</v>
      </c>
      <c r="I72" s="50">
        <f t="shared" si="11"/>
        <v>10000</v>
      </c>
      <c r="J72" s="50">
        <v>240000</v>
      </c>
      <c r="K72" s="30">
        <f>+(J72-$P72)/$P72</f>
        <v>-0.39998499962499062</v>
      </c>
      <c r="L72" s="50">
        <f t="shared" si="12"/>
        <v>20000</v>
      </c>
      <c r="M72" s="50">
        <v>276000</v>
      </c>
      <c r="N72" s="30">
        <f t="shared" si="13"/>
        <v>-0.30998274956873922</v>
      </c>
      <c r="O72" s="50">
        <f t="shared" si="14"/>
        <v>23000</v>
      </c>
      <c r="P72" s="50">
        <v>399990</v>
      </c>
      <c r="Q72" t="s">
        <v>781</v>
      </c>
      <c r="R72" t="e">
        <f>VLOOKUP(B72,#REF!,1,0)</f>
        <v>#REF!</v>
      </c>
      <c r="S72" s="50">
        <v>-99000</v>
      </c>
      <c r="T72" s="50">
        <v>4900</v>
      </c>
      <c r="U72" s="50">
        <v>-10800</v>
      </c>
      <c r="V72" s="50">
        <v>-99000</v>
      </c>
      <c r="W72" s="50">
        <v>4900</v>
      </c>
      <c r="X72" s="50">
        <v>-10800</v>
      </c>
      <c r="Y72" s="50">
        <v>-99000</v>
      </c>
      <c r="Z72" s="50">
        <v>4900</v>
      </c>
      <c r="AA72" s="50">
        <v>-10800</v>
      </c>
      <c r="AB72" s="50">
        <v>-38400</v>
      </c>
      <c r="AC72" s="50">
        <v>-9.6002400060001492E-2</v>
      </c>
      <c r="AD72" s="50">
        <v>-1600</v>
      </c>
      <c r="AE72" s="50">
        <v>-38400</v>
      </c>
      <c r="AF72" s="50">
        <v>-9.6002400060001492E-2</v>
      </c>
      <c r="AG72" s="50">
        <v>-1600</v>
      </c>
      <c r="AH72" s="50">
        <v>-38400</v>
      </c>
      <c r="AI72" s="50">
        <v>-9.6002400060001492E-2</v>
      </c>
      <c r="AJ72" s="50">
        <v>-3200</v>
      </c>
      <c r="AK72" s="50">
        <v>-38400</v>
      </c>
      <c r="AL72" s="50">
        <v>-9.6002400060001519E-2</v>
      </c>
      <c r="AM72" s="50">
        <v>-38400</v>
      </c>
      <c r="AN72" s="50">
        <v>-9.6002400060001519E-2</v>
      </c>
      <c r="AO72" s="50">
        <v>-3200</v>
      </c>
      <c r="AP72" s="50">
        <v>0</v>
      </c>
      <c r="AQ72" s="50">
        <v>0</v>
      </c>
      <c r="AR72" s="50">
        <v>0</v>
      </c>
      <c r="AT72" s="50">
        <v>139990</v>
      </c>
      <c r="AU72" s="50">
        <v>14400</v>
      </c>
      <c r="AV72" s="50">
        <v>399190</v>
      </c>
      <c r="AW72" s="50">
        <v>139990</v>
      </c>
      <c r="AX72" s="50">
        <v>14400</v>
      </c>
      <c r="AY72" s="50">
        <v>399190</v>
      </c>
      <c r="AZ72" s="50">
        <v>139990</v>
      </c>
      <c r="BA72" s="50">
        <v>14400</v>
      </c>
      <c r="BB72" s="50">
        <v>399190</v>
      </c>
      <c r="BC72" s="50">
        <v>278400</v>
      </c>
      <c r="BD72" s="50">
        <v>-0.30398259956498913</v>
      </c>
      <c r="BE72" s="50">
        <v>11600</v>
      </c>
      <c r="BF72" s="50">
        <v>278400</v>
      </c>
      <c r="BG72" s="50">
        <v>-0.30398259956498913</v>
      </c>
      <c r="BH72" s="50">
        <v>11600</v>
      </c>
      <c r="BI72" s="50">
        <v>278400</v>
      </c>
      <c r="BJ72" s="50">
        <v>-0.30398259956498913</v>
      </c>
      <c r="BK72" s="50">
        <v>23200</v>
      </c>
      <c r="BL72" s="50">
        <v>314400</v>
      </c>
      <c r="BM72" s="50">
        <v>-0.2139803495087377</v>
      </c>
      <c r="BN72" s="50">
        <v>314400</v>
      </c>
      <c r="BO72" s="50">
        <v>-0.2139803495087377</v>
      </c>
      <c r="BP72" s="50">
        <v>26200</v>
      </c>
      <c r="BQ72" s="50">
        <v>399990</v>
      </c>
      <c r="BR72" s="50" t="s">
        <v>745</v>
      </c>
      <c r="BS72" s="50" t="s">
        <v>746</v>
      </c>
    </row>
    <row r="73" spans="1:71" ht="15.75" customHeight="1" x14ac:dyDescent="0.2">
      <c r="A73" s="25" t="s">
        <v>544</v>
      </c>
      <c r="B73" s="26" t="s">
        <v>545</v>
      </c>
      <c r="C73" s="27" t="s">
        <v>401</v>
      </c>
      <c r="D73" s="50">
        <v>240000</v>
      </c>
      <c r="E73" s="30">
        <f>+(D73-$P73)/$P73</f>
        <v>-0.39998499962499062</v>
      </c>
      <c r="F73" s="50">
        <f t="shared" si="10"/>
        <v>10000</v>
      </c>
      <c r="G73" s="50">
        <v>240000</v>
      </c>
      <c r="H73" s="30">
        <f>+(G73-$P73)/$P73</f>
        <v>-0.39998499962499062</v>
      </c>
      <c r="I73" s="50">
        <f t="shared" si="11"/>
        <v>10000</v>
      </c>
      <c r="J73" s="50">
        <v>240000</v>
      </c>
      <c r="K73" s="30">
        <f>+(J73-$P73)/$P73</f>
        <v>-0.39998499962499062</v>
      </c>
      <c r="L73" s="50">
        <f t="shared" si="12"/>
        <v>20000</v>
      </c>
      <c r="M73" s="50">
        <v>276000</v>
      </c>
      <c r="N73" s="30">
        <f t="shared" si="13"/>
        <v>-0.30998274956873922</v>
      </c>
      <c r="O73" s="50">
        <f t="shared" si="14"/>
        <v>23000</v>
      </c>
      <c r="P73" s="50">
        <v>399990</v>
      </c>
      <c r="Q73" t="s">
        <v>781</v>
      </c>
      <c r="R73" t="e">
        <f>VLOOKUP(B73,#REF!,1,0)</f>
        <v>#REF!</v>
      </c>
      <c r="S73" s="50">
        <v>-99000</v>
      </c>
      <c r="T73" s="50">
        <v>4900</v>
      </c>
      <c r="U73" s="50">
        <v>-10800</v>
      </c>
      <c r="V73" s="50">
        <v>-99000</v>
      </c>
      <c r="W73" s="50">
        <v>4900</v>
      </c>
      <c r="X73" s="50">
        <v>-10800</v>
      </c>
      <c r="Y73" s="50">
        <v>-99000</v>
      </c>
      <c r="Z73" s="50">
        <v>4900</v>
      </c>
      <c r="AA73" s="50">
        <v>-10800</v>
      </c>
      <c r="AB73" s="50">
        <v>-38400</v>
      </c>
      <c r="AC73" s="50">
        <v>-9.6002400060001492E-2</v>
      </c>
      <c r="AD73" s="50">
        <v>-1600</v>
      </c>
      <c r="AE73" s="50">
        <v>-38400</v>
      </c>
      <c r="AF73" s="50">
        <v>-9.6002400060001492E-2</v>
      </c>
      <c r="AG73" s="50">
        <v>-1600</v>
      </c>
      <c r="AH73" s="50">
        <v>-38400</v>
      </c>
      <c r="AI73" s="50">
        <v>-9.6002400060001492E-2</v>
      </c>
      <c r="AJ73" s="50">
        <v>-3200</v>
      </c>
      <c r="AK73" s="50">
        <v>-38400</v>
      </c>
      <c r="AL73" s="50">
        <v>-9.6002400060001519E-2</v>
      </c>
      <c r="AM73" s="50">
        <v>-38400</v>
      </c>
      <c r="AN73" s="50">
        <v>-9.6002400060001519E-2</v>
      </c>
      <c r="AO73" s="50">
        <v>-3200</v>
      </c>
      <c r="AP73" s="50">
        <v>0</v>
      </c>
      <c r="AQ73" s="50">
        <v>0</v>
      </c>
      <c r="AR73" s="50">
        <v>0</v>
      </c>
      <c r="AT73" s="50">
        <v>139990</v>
      </c>
      <c r="AU73" s="50">
        <v>14400</v>
      </c>
      <c r="AV73" s="50">
        <v>399190</v>
      </c>
      <c r="AW73" s="50">
        <v>139990</v>
      </c>
      <c r="AX73" s="50">
        <v>14400</v>
      </c>
      <c r="AY73" s="50">
        <v>399190</v>
      </c>
      <c r="AZ73" s="50">
        <v>139990</v>
      </c>
      <c r="BA73" s="50">
        <v>14400</v>
      </c>
      <c r="BB73" s="50">
        <v>399190</v>
      </c>
      <c r="BC73" s="50">
        <v>278400</v>
      </c>
      <c r="BD73" s="50">
        <v>-0.30398259956498913</v>
      </c>
      <c r="BE73" s="50">
        <v>11600</v>
      </c>
      <c r="BF73" s="50">
        <v>278400</v>
      </c>
      <c r="BG73" s="50">
        <v>-0.30398259956498913</v>
      </c>
      <c r="BH73" s="50">
        <v>11600</v>
      </c>
      <c r="BI73" s="50">
        <v>278400</v>
      </c>
      <c r="BJ73" s="50">
        <v>-0.30398259956498913</v>
      </c>
      <c r="BK73" s="50">
        <v>23200</v>
      </c>
      <c r="BL73" s="50">
        <v>314400</v>
      </c>
      <c r="BM73" s="50">
        <v>-0.2139803495087377</v>
      </c>
      <c r="BN73" s="50">
        <v>314400</v>
      </c>
      <c r="BO73" s="50">
        <v>-0.2139803495087377</v>
      </c>
      <c r="BP73" s="50">
        <v>26200</v>
      </c>
      <c r="BQ73" s="50">
        <v>399990</v>
      </c>
      <c r="BR73" s="50" t="s">
        <v>745</v>
      </c>
      <c r="BS73" s="50" t="s">
        <v>746</v>
      </c>
    </row>
    <row r="74" spans="1:71" ht="15.75" customHeight="1" x14ac:dyDescent="0.2">
      <c r="A74" s="25" t="s">
        <v>546</v>
      </c>
      <c r="B74" s="26" t="s">
        <v>547</v>
      </c>
      <c r="C74" s="27" t="s">
        <v>401</v>
      </c>
      <c r="D74" s="50">
        <v>240000</v>
      </c>
      <c r="E74" s="30">
        <f>+(D74-$P74)/$P74</f>
        <v>-0.39998499962499062</v>
      </c>
      <c r="F74" s="50">
        <f t="shared" si="10"/>
        <v>10000</v>
      </c>
      <c r="G74" s="50">
        <v>240000</v>
      </c>
      <c r="H74" s="30">
        <f>+(G74-$P74)/$P74</f>
        <v>-0.39998499962499062</v>
      </c>
      <c r="I74" s="50">
        <f t="shared" si="11"/>
        <v>10000</v>
      </c>
      <c r="J74" s="50">
        <v>240000</v>
      </c>
      <c r="K74" s="30">
        <f>+(J74-$P74)/$P74</f>
        <v>-0.39998499962499062</v>
      </c>
      <c r="L74" s="50">
        <f t="shared" si="12"/>
        <v>20000</v>
      </c>
      <c r="M74" s="50">
        <v>276000</v>
      </c>
      <c r="N74" s="30">
        <f t="shared" si="13"/>
        <v>-0.30998274956873922</v>
      </c>
      <c r="O74" s="50">
        <f t="shared" si="14"/>
        <v>23000</v>
      </c>
      <c r="P74" s="50">
        <v>399990</v>
      </c>
      <c r="Q74" t="s">
        <v>781</v>
      </c>
      <c r="R74" t="e">
        <f>VLOOKUP(B74,#REF!,1,0)</f>
        <v>#REF!</v>
      </c>
      <c r="S74" s="50">
        <v>-99000</v>
      </c>
      <c r="T74" s="50">
        <v>4900</v>
      </c>
      <c r="U74" s="50">
        <v>-10800</v>
      </c>
      <c r="V74" s="50">
        <v>-99000</v>
      </c>
      <c r="W74" s="50">
        <v>4900</v>
      </c>
      <c r="X74" s="50">
        <v>-10800</v>
      </c>
      <c r="Y74" s="50">
        <v>-99000</v>
      </c>
      <c r="Z74" s="50">
        <v>4900</v>
      </c>
      <c r="AA74" s="50">
        <v>-10800</v>
      </c>
      <c r="AB74" s="50">
        <v>-38400</v>
      </c>
      <c r="AC74" s="50">
        <v>-9.6002400060001492E-2</v>
      </c>
      <c r="AD74" s="50">
        <v>-1600</v>
      </c>
      <c r="AE74" s="50">
        <v>-38400</v>
      </c>
      <c r="AF74" s="50">
        <v>-9.6002400060001492E-2</v>
      </c>
      <c r="AG74" s="50">
        <v>-1600</v>
      </c>
      <c r="AH74" s="50">
        <v>-38400</v>
      </c>
      <c r="AI74" s="50">
        <v>-9.6002400060001492E-2</v>
      </c>
      <c r="AJ74" s="50">
        <v>-3200</v>
      </c>
      <c r="AK74" s="50">
        <v>-38400</v>
      </c>
      <c r="AL74" s="50">
        <v>-9.6002400060001519E-2</v>
      </c>
      <c r="AM74" s="50">
        <v>-38400</v>
      </c>
      <c r="AN74" s="50">
        <v>-9.6002400060001519E-2</v>
      </c>
      <c r="AO74" s="50">
        <v>-3200</v>
      </c>
      <c r="AP74" s="50">
        <v>0</v>
      </c>
      <c r="AQ74" s="50">
        <v>0</v>
      </c>
      <c r="AR74" s="50">
        <v>0</v>
      </c>
      <c r="AT74" s="50">
        <v>139990</v>
      </c>
      <c r="AU74" s="50">
        <v>14400</v>
      </c>
      <c r="AV74" s="50">
        <v>399190</v>
      </c>
      <c r="AW74" s="50">
        <v>139990</v>
      </c>
      <c r="AX74" s="50">
        <v>14400</v>
      </c>
      <c r="AY74" s="50">
        <v>399190</v>
      </c>
      <c r="AZ74" s="50">
        <v>139990</v>
      </c>
      <c r="BA74" s="50">
        <v>14400</v>
      </c>
      <c r="BB74" s="50">
        <v>399190</v>
      </c>
      <c r="BC74" s="50">
        <v>278400</v>
      </c>
      <c r="BD74" s="50">
        <v>-0.30398259956498913</v>
      </c>
      <c r="BE74" s="50">
        <v>11600</v>
      </c>
      <c r="BF74" s="50">
        <v>278400</v>
      </c>
      <c r="BG74" s="50">
        <v>-0.30398259956498913</v>
      </c>
      <c r="BH74" s="50">
        <v>11600</v>
      </c>
      <c r="BI74" s="50">
        <v>278400</v>
      </c>
      <c r="BJ74" s="50">
        <v>-0.30398259956498913</v>
      </c>
      <c r="BK74" s="50">
        <v>23200</v>
      </c>
      <c r="BL74" s="50">
        <v>314400</v>
      </c>
      <c r="BM74" s="50">
        <v>-0.2139803495087377</v>
      </c>
      <c r="BN74" s="50">
        <v>314400</v>
      </c>
      <c r="BO74" s="50">
        <v>-0.2139803495087377</v>
      </c>
      <c r="BP74" s="50">
        <v>26200</v>
      </c>
      <c r="BQ74" s="50">
        <v>399990</v>
      </c>
      <c r="BR74" s="50" t="s">
        <v>745</v>
      </c>
      <c r="BS74" s="50" t="s">
        <v>746</v>
      </c>
    </row>
    <row r="75" spans="1:71" ht="15.75" customHeight="1" x14ac:dyDescent="0.2">
      <c r="A75" s="25" t="s">
        <v>548</v>
      </c>
      <c r="B75" s="26" t="s">
        <v>549</v>
      </c>
      <c r="C75" s="27" t="s">
        <v>401</v>
      </c>
      <c r="D75" s="50">
        <v>240000</v>
      </c>
      <c r="E75" s="30">
        <f>+(D75-$P75)/$P75</f>
        <v>-0.39998499962499062</v>
      </c>
      <c r="F75" s="50">
        <f t="shared" si="10"/>
        <v>10000</v>
      </c>
      <c r="G75" s="50">
        <v>240000</v>
      </c>
      <c r="H75" s="30">
        <f>+(G75-$P75)/$P75</f>
        <v>-0.39998499962499062</v>
      </c>
      <c r="I75" s="50">
        <f t="shared" si="11"/>
        <v>10000</v>
      </c>
      <c r="J75" s="50">
        <v>240000</v>
      </c>
      <c r="K75" s="30">
        <f>+(J75-$P75)/$P75</f>
        <v>-0.39998499962499062</v>
      </c>
      <c r="L75" s="50">
        <f t="shared" si="12"/>
        <v>20000</v>
      </c>
      <c r="M75" s="50">
        <v>276000</v>
      </c>
      <c r="N75" s="30">
        <f t="shared" si="13"/>
        <v>-0.30998274956873922</v>
      </c>
      <c r="O75" s="50">
        <f t="shared" si="14"/>
        <v>23000</v>
      </c>
      <c r="P75" s="50">
        <v>399990</v>
      </c>
      <c r="Q75" t="s">
        <v>781</v>
      </c>
      <c r="R75" t="e">
        <f>VLOOKUP(B75,#REF!,1,0)</f>
        <v>#REF!</v>
      </c>
      <c r="S75" s="50">
        <v>-99000</v>
      </c>
      <c r="T75" s="50">
        <v>4900</v>
      </c>
      <c r="U75" s="50">
        <v>-10800</v>
      </c>
      <c r="V75" s="50">
        <v>-99000</v>
      </c>
      <c r="W75" s="50">
        <v>4900</v>
      </c>
      <c r="X75" s="50">
        <v>-10800</v>
      </c>
      <c r="Y75" s="50">
        <v>-99000</v>
      </c>
      <c r="Z75" s="50">
        <v>4900</v>
      </c>
      <c r="AA75" s="50">
        <v>-10800</v>
      </c>
      <c r="AB75" s="50">
        <v>-38400</v>
      </c>
      <c r="AC75" s="50">
        <v>-9.6002400060001492E-2</v>
      </c>
      <c r="AD75" s="50">
        <v>-1600</v>
      </c>
      <c r="AE75" s="50">
        <v>-38400</v>
      </c>
      <c r="AF75" s="50">
        <v>-9.6002400060001492E-2</v>
      </c>
      <c r="AG75" s="50">
        <v>-1600</v>
      </c>
      <c r="AH75" s="50">
        <v>-38400</v>
      </c>
      <c r="AI75" s="50">
        <v>-9.6002400060001492E-2</v>
      </c>
      <c r="AJ75" s="50">
        <v>-3200</v>
      </c>
      <c r="AK75" s="50">
        <v>-38400</v>
      </c>
      <c r="AL75" s="50">
        <v>-9.6002400060001519E-2</v>
      </c>
      <c r="AM75" s="50">
        <v>-38400</v>
      </c>
      <c r="AN75" s="50">
        <v>-9.6002400060001519E-2</v>
      </c>
      <c r="AO75" s="50">
        <v>-3200</v>
      </c>
      <c r="AP75" s="50">
        <v>0</v>
      </c>
      <c r="AQ75" s="50">
        <v>0</v>
      </c>
      <c r="AR75" s="50">
        <v>0</v>
      </c>
      <c r="AT75" s="50">
        <v>139990</v>
      </c>
      <c r="AU75" s="50">
        <v>14400</v>
      </c>
      <c r="AV75" s="50">
        <v>399190</v>
      </c>
      <c r="AW75" s="50">
        <v>139990</v>
      </c>
      <c r="AX75" s="50">
        <v>14400</v>
      </c>
      <c r="AY75" s="50">
        <v>399190</v>
      </c>
      <c r="AZ75" s="50">
        <v>139990</v>
      </c>
      <c r="BA75" s="50">
        <v>14400</v>
      </c>
      <c r="BB75" s="50">
        <v>399190</v>
      </c>
      <c r="BC75" s="50">
        <v>278400</v>
      </c>
      <c r="BD75" s="50">
        <v>-0.30398259956498913</v>
      </c>
      <c r="BE75" s="50">
        <v>11600</v>
      </c>
      <c r="BF75" s="50">
        <v>278400</v>
      </c>
      <c r="BG75" s="50">
        <v>-0.30398259956498913</v>
      </c>
      <c r="BH75" s="50">
        <v>11600</v>
      </c>
      <c r="BI75" s="50">
        <v>278400</v>
      </c>
      <c r="BJ75" s="50">
        <v>-0.30398259956498913</v>
      </c>
      <c r="BK75" s="50">
        <v>23200</v>
      </c>
      <c r="BL75" s="50">
        <v>314400</v>
      </c>
      <c r="BM75" s="50">
        <v>-0.2139803495087377</v>
      </c>
      <c r="BN75" s="50">
        <v>314400</v>
      </c>
      <c r="BO75" s="50">
        <v>-0.2139803495087377</v>
      </c>
      <c r="BP75" s="50">
        <v>26200</v>
      </c>
      <c r="BQ75" s="50">
        <v>399990</v>
      </c>
      <c r="BR75" s="50" t="s">
        <v>745</v>
      </c>
      <c r="BS75" s="50" t="s">
        <v>746</v>
      </c>
    </row>
    <row r="76" spans="1:71" ht="15.75" customHeight="1" x14ac:dyDescent="0.2">
      <c r="A76" s="25" t="s">
        <v>550</v>
      </c>
      <c r="B76" s="26" t="s">
        <v>551</v>
      </c>
      <c r="C76" s="27" t="s">
        <v>401</v>
      </c>
      <c r="D76" s="50">
        <v>249600</v>
      </c>
      <c r="E76" s="30">
        <f>+(D76-$P76)/$P76</f>
        <v>-0.50079001580031601</v>
      </c>
      <c r="F76" s="50">
        <f t="shared" si="10"/>
        <v>10400</v>
      </c>
      <c r="G76" s="50">
        <v>249600</v>
      </c>
      <c r="H76" s="30">
        <f>+(G76-$P76)/$P76</f>
        <v>-0.50079001580031601</v>
      </c>
      <c r="I76" s="50">
        <f t="shared" si="11"/>
        <v>10400</v>
      </c>
      <c r="J76" s="50">
        <v>249600</v>
      </c>
      <c r="K76" s="30">
        <f>+(J76-$P76)/$P76</f>
        <v>-0.50079001580031601</v>
      </c>
      <c r="L76" s="50">
        <f t="shared" si="12"/>
        <v>20800</v>
      </c>
      <c r="M76" s="50">
        <v>285600</v>
      </c>
      <c r="N76" s="30">
        <f t="shared" si="13"/>
        <v>-0.42878857577151541</v>
      </c>
      <c r="O76" s="50">
        <f t="shared" si="14"/>
        <v>23800</v>
      </c>
      <c r="P76" s="50">
        <v>499990</v>
      </c>
      <c r="Q76" t="s">
        <v>782</v>
      </c>
      <c r="R76" t="e">
        <f>VLOOKUP(B76,#REF!,1,0)</f>
        <v>#REF!</v>
      </c>
      <c r="S76" s="50">
        <v>-117000</v>
      </c>
      <c r="T76" s="50">
        <v>3300</v>
      </c>
      <c r="U76" s="50">
        <v>-57600</v>
      </c>
      <c r="V76" s="50">
        <v>-117000</v>
      </c>
      <c r="W76" s="50">
        <v>3300</v>
      </c>
      <c r="X76" s="50">
        <v>-57600</v>
      </c>
      <c r="Y76" s="50">
        <v>-117000</v>
      </c>
      <c r="Z76" s="50">
        <v>3300</v>
      </c>
      <c r="AA76" s="50">
        <v>-57600</v>
      </c>
      <c r="AB76" s="50">
        <v>-38400</v>
      </c>
      <c r="AC76" s="50">
        <v>-7.6801536030720596E-2</v>
      </c>
      <c r="AD76" s="50">
        <v>-1600</v>
      </c>
      <c r="AE76" s="50">
        <v>-38400</v>
      </c>
      <c r="AF76" s="50">
        <v>-7.6801536030720596E-2</v>
      </c>
      <c r="AG76" s="50">
        <v>-1600</v>
      </c>
      <c r="AH76" s="50">
        <v>-38400</v>
      </c>
      <c r="AI76" s="50">
        <v>-7.6801536030720596E-2</v>
      </c>
      <c r="AJ76" s="50">
        <v>-3200</v>
      </c>
      <c r="AK76" s="50">
        <v>-38400</v>
      </c>
      <c r="AL76" s="50">
        <v>-7.6801536030720596E-2</v>
      </c>
      <c r="AM76" s="50">
        <v>-38400</v>
      </c>
      <c r="AN76" s="50">
        <v>-7.6801536030720596E-2</v>
      </c>
      <c r="AO76" s="50">
        <v>-3200</v>
      </c>
      <c r="AP76" s="50">
        <v>0</v>
      </c>
      <c r="AQ76" s="50">
        <v>0</v>
      </c>
      <c r="AR76" s="50">
        <v>0</v>
      </c>
      <c r="AT76" s="50">
        <v>139990</v>
      </c>
      <c r="AU76" s="50">
        <v>16500</v>
      </c>
      <c r="AV76" s="50">
        <v>436990</v>
      </c>
      <c r="AW76" s="50">
        <v>139990</v>
      </c>
      <c r="AX76" s="50">
        <v>16500</v>
      </c>
      <c r="AY76" s="50">
        <v>436990</v>
      </c>
      <c r="AZ76" s="50">
        <v>139990</v>
      </c>
      <c r="BA76" s="50">
        <v>16500</v>
      </c>
      <c r="BB76" s="50">
        <v>436990</v>
      </c>
      <c r="BC76" s="50">
        <v>288000</v>
      </c>
      <c r="BD76" s="50">
        <v>-0.42398847976959542</v>
      </c>
      <c r="BE76" s="50">
        <v>12000</v>
      </c>
      <c r="BF76" s="50">
        <v>288000</v>
      </c>
      <c r="BG76" s="50">
        <v>-0.42398847976959542</v>
      </c>
      <c r="BH76" s="50">
        <v>12000</v>
      </c>
      <c r="BI76" s="50">
        <v>288000</v>
      </c>
      <c r="BJ76" s="50">
        <v>-0.42398847976959542</v>
      </c>
      <c r="BK76" s="50">
        <v>24000</v>
      </c>
      <c r="BL76" s="50">
        <v>324000</v>
      </c>
      <c r="BM76" s="50">
        <v>-0.35198703974079482</v>
      </c>
      <c r="BN76" s="50">
        <v>324000</v>
      </c>
      <c r="BO76" s="50">
        <v>-0.35198703974079482</v>
      </c>
      <c r="BP76" s="50">
        <v>27000</v>
      </c>
      <c r="BQ76" s="50">
        <v>499990</v>
      </c>
      <c r="BR76" s="50" t="s">
        <v>745</v>
      </c>
      <c r="BS76" s="50" t="s">
        <v>746</v>
      </c>
    </row>
    <row r="77" spans="1:71" ht="15.75" customHeight="1" x14ac:dyDescent="0.2">
      <c r="A77" s="25" t="s">
        <v>552</v>
      </c>
      <c r="B77" s="26" t="s">
        <v>553</v>
      </c>
      <c r="C77" s="27" t="s">
        <v>401</v>
      </c>
      <c r="D77" s="50">
        <v>249600</v>
      </c>
      <c r="E77" s="30">
        <f>+(D77-$P77)/$P77</f>
        <v>-0.50079001580031601</v>
      </c>
      <c r="F77" s="50">
        <f t="shared" si="10"/>
        <v>10400</v>
      </c>
      <c r="G77" s="50">
        <v>249600</v>
      </c>
      <c r="H77" s="30">
        <f>+(G77-$P77)/$P77</f>
        <v>-0.50079001580031601</v>
      </c>
      <c r="I77" s="50">
        <f t="shared" si="11"/>
        <v>10400</v>
      </c>
      <c r="J77" s="50">
        <v>249600</v>
      </c>
      <c r="K77" s="30">
        <f>+(J77-$P77)/$P77</f>
        <v>-0.50079001580031601</v>
      </c>
      <c r="L77" s="50">
        <f t="shared" si="12"/>
        <v>20800</v>
      </c>
      <c r="M77" s="50">
        <v>285600</v>
      </c>
      <c r="N77" s="30">
        <f t="shared" si="13"/>
        <v>-0.42878857577151541</v>
      </c>
      <c r="O77" s="50">
        <f t="shared" si="14"/>
        <v>23800</v>
      </c>
      <c r="P77" s="50">
        <v>499990</v>
      </c>
      <c r="Q77" t="s">
        <v>782</v>
      </c>
      <c r="R77" t="e">
        <f>VLOOKUP(B77,#REF!,1,0)</f>
        <v>#REF!</v>
      </c>
      <c r="S77" s="50">
        <v>-117000</v>
      </c>
      <c r="T77" s="50">
        <v>3300</v>
      </c>
      <c r="U77" s="50">
        <v>-57600</v>
      </c>
      <c r="V77" s="50">
        <v>-117000</v>
      </c>
      <c r="W77" s="50">
        <v>3300</v>
      </c>
      <c r="X77" s="50">
        <v>-57600</v>
      </c>
      <c r="Y77" s="50">
        <v>-117000</v>
      </c>
      <c r="Z77" s="50">
        <v>3300</v>
      </c>
      <c r="AA77" s="50">
        <v>-57600</v>
      </c>
      <c r="AB77" s="50">
        <v>-38400</v>
      </c>
      <c r="AC77" s="50">
        <v>-7.6801536030720596E-2</v>
      </c>
      <c r="AD77" s="50">
        <v>-1600</v>
      </c>
      <c r="AE77" s="50">
        <v>-38400</v>
      </c>
      <c r="AF77" s="50">
        <v>-7.6801536030720596E-2</v>
      </c>
      <c r="AG77" s="50">
        <v>-1600</v>
      </c>
      <c r="AH77" s="50">
        <v>-38400</v>
      </c>
      <c r="AI77" s="50">
        <v>-7.6801536030720596E-2</v>
      </c>
      <c r="AJ77" s="50">
        <v>-3200</v>
      </c>
      <c r="AK77" s="50">
        <v>-38400</v>
      </c>
      <c r="AL77" s="50">
        <v>-7.6801536030720596E-2</v>
      </c>
      <c r="AM77" s="50">
        <v>-38400</v>
      </c>
      <c r="AN77" s="50">
        <v>-7.6801536030720596E-2</v>
      </c>
      <c r="AO77" s="50">
        <v>-3200</v>
      </c>
      <c r="AP77" s="50">
        <v>0</v>
      </c>
      <c r="AQ77" s="50">
        <v>0</v>
      </c>
      <c r="AR77" s="50">
        <v>0</v>
      </c>
      <c r="AT77" s="50">
        <v>139990</v>
      </c>
      <c r="AU77" s="50">
        <v>16500</v>
      </c>
      <c r="AV77" s="50">
        <v>436990</v>
      </c>
      <c r="AW77" s="50">
        <v>139990</v>
      </c>
      <c r="AX77" s="50">
        <v>16500</v>
      </c>
      <c r="AY77" s="50">
        <v>436990</v>
      </c>
      <c r="AZ77" s="50">
        <v>139990</v>
      </c>
      <c r="BA77" s="50">
        <v>16500</v>
      </c>
      <c r="BB77" s="50">
        <v>436990</v>
      </c>
      <c r="BC77" s="50">
        <v>288000</v>
      </c>
      <c r="BD77" s="50">
        <v>-0.42398847976959542</v>
      </c>
      <c r="BE77" s="50">
        <v>12000</v>
      </c>
      <c r="BF77" s="50">
        <v>288000</v>
      </c>
      <c r="BG77" s="50">
        <v>-0.42398847976959542</v>
      </c>
      <c r="BH77" s="50">
        <v>12000</v>
      </c>
      <c r="BI77" s="50">
        <v>288000</v>
      </c>
      <c r="BJ77" s="50">
        <v>-0.42398847976959542</v>
      </c>
      <c r="BK77" s="50">
        <v>24000</v>
      </c>
      <c r="BL77" s="50">
        <v>324000</v>
      </c>
      <c r="BM77" s="50">
        <v>-0.35198703974079482</v>
      </c>
      <c r="BN77" s="50">
        <v>324000</v>
      </c>
      <c r="BO77" s="50">
        <v>-0.35198703974079482</v>
      </c>
      <c r="BP77" s="50">
        <v>27000</v>
      </c>
      <c r="BQ77" s="50">
        <v>499990</v>
      </c>
      <c r="BR77" s="50" t="s">
        <v>745</v>
      </c>
      <c r="BS77" s="50" t="s">
        <v>746</v>
      </c>
    </row>
    <row r="78" spans="1:71" ht="15.75" customHeight="1" x14ac:dyDescent="0.2">
      <c r="A78" s="25" t="s">
        <v>554</v>
      </c>
      <c r="B78" s="26" t="s">
        <v>555</v>
      </c>
      <c r="C78" s="27" t="s">
        <v>401</v>
      </c>
      <c r="D78" s="50">
        <v>249600</v>
      </c>
      <c r="E78" s="30">
        <f>+(D78-$P78)/$P78</f>
        <v>-0.50079001580031601</v>
      </c>
      <c r="F78" s="50">
        <f t="shared" si="10"/>
        <v>10400</v>
      </c>
      <c r="G78" s="50">
        <v>249600</v>
      </c>
      <c r="H78" s="30">
        <f>+(G78-$P78)/$P78</f>
        <v>-0.50079001580031601</v>
      </c>
      <c r="I78" s="50">
        <f t="shared" si="11"/>
        <v>10400</v>
      </c>
      <c r="J78" s="50">
        <v>249600</v>
      </c>
      <c r="K78" s="30">
        <f>+(J78-$P78)/$P78</f>
        <v>-0.50079001580031601</v>
      </c>
      <c r="L78" s="50">
        <f t="shared" si="12"/>
        <v>20800</v>
      </c>
      <c r="M78" s="50">
        <v>285600</v>
      </c>
      <c r="N78" s="30">
        <f t="shared" si="13"/>
        <v>-0.42878857577151541</v>
      </c>
      <c r="O78" s="50">
        <f t="shared" si="14"/>
        <v>23800</v>
      </c>
      <c r="P78" s="50">
        <v>499990</v>
      </c>
      <c r="Q78" t="s">
        <v>782</v>
      </c>
      <c r="R78" t="e">
        <f>VLOOKUP(B78,#REF!,1,0)</f>
        <v>#REF!</v>
      </c>
      <c r="S78" s="50">
        <v>-117000</v>
      </c>
      <c r="T78" s="50">
        <v>3300</v>
      </c>
      <c r="U78" s="50">
        <v>-57600</v>
      </c>
      <c r="V78" s="50">
        <v>-117000</v>
      </c>
      <c r="W78" s="50">
        <v>3300</v>
      </c>
      <c r="X78" s="50">
        <v>-57600</v>
      </c>
      <c r="Y78" s="50">
        <v>-117000</v>
      </c>
      <c r="Z78" s="50">
        <v>3300</v>
      </c>
      <c r="AA78" s="50">
        <v>-57600</v>
      </c>
      <c r="AB78" s="50">
        <v>-38400</v>
      </c>
      <c r="AC78" s="50">
        <v>-7.6801536030720596E-2</v>
      </c>
      <c r="AD78" s="50">
        <v>-1600</v>
      </c>
      <c r="AE78" s="50">
        <v>-38400</v>
      </c>
      <c r="AF78" s="50">
        <v>-7.6801536030720596E-2</v>
      </c>
      <c r="AG78" s="50">
        <v>-1600</v>
      </c>
      <c r="AH78" s="50">
        <v>-38400</v>
      </c>
      <c r="AI78" s="50">
        <v>-7.6801536030720596E-2</v>
      </c>
      <c r="AJ78" s="50">
        <v>-3200</v>
      </c>
      <c r="AK78" s="50">
        <v>-38400</v>
      </c>
      <c r="AL78" s="50">
        <v>-7.6801536030720596E-2</v>
      </c>
      <c r="AM78" s="50">
        <v>-38400</v>
      </c>
      <c r="AN78" s="50">
        <v>-7.6801536030720596E-2</v>
      </c>
      <c r="AO78" s="50">
        <v>-3200</v>
      </c>
      <c r="AP78" s="50">
        <v>0</v>
      </c>
      <c r="AQ78" s="50">
        <v>0</v>
      </c>
      <c r="AR78" s="50">
        <v>0</v>
      </c>
      <c r="AT78" s="50">
        <v>139990</v>
      </c>
      <c r="AU78" s="50">
        <v>16500</v>
      </c>
      <c r="AV78" s="50">
        <v>436990</v>
      </c>
      <c r="AW78" s="50">
        <v>139990</v>
      </c>
      <c r="AX78" s="50">
        <v>16500</v>
      </c>
      <c r="AY78" s="50">
        <v>436990</v>
      </c>
      <c r="AZ78" s="50">
        <v>139990</v>
      </c>
      <c r="BA78" s="50">
        <v>16500</v>
      </c>
      <c r="BB78" s="50">
        <v>436990</v>
      </c>
      <c r="BC78" s="50">
        <v>288000</v>
      </c>
      <c r="BD78" s="50">
        <v>-0.42398847976959542</v>
      </c>
      <c r="BE78" s="50">
        <v>12000</v>
      </c>
      <c r="BF78" s="50">
        <v>288000</v>
      </c>
      <c r="BG78" s="50">
        <v>-0.42398847976959542</v>
      </c>
      <c r="BH78" s="50">
        <v>12000</v>
      </c>
      <c r="BI78" s="50">
        <v>288000</v>
      </c>
      <c r="BJ78" s="50">
        <v>-0.42398847976959542</v>
      </c>
      <c r="BK78" s="50">
        <v>24000</v>
      </c>
      <c r="BL78" s="50">
        <v>324000</v>
      </c>
      <c r="BM78" s="50">
        <v>-0.35198703974079482</v>
      </c>
      <c r="BN78" s="50">
        <v>324000</v>
      </c>
      <c r="BO78" s="50">
        <v>-0.35198703974079482</v>
      </c>
      <c r="BP78" s="50">
        <v>27000</v>
      </c>
      <c r="BQ78" s="50">
        <v>499990</v>
      </c>
      <c r="BR78" s="50" t="s">
        <v>745</v>
      </c>
      <c r="BS78" s="50" t="s">
        <v>746</v>
      </c>
    </row>
    <row r="79" spans="1:71" ht="15.75" customHeight="1" x14ac:dyDescent="0.2">
      <c r="A79" s="25" t="s">
        <v>556</v>
      </c>
      <c r="B79" s="26" t="s">
        <v>557</v>
      </c>
      <c r="C79" s="27" t="s">
        <v>401</v>
      </c>
      <c r="D79" s="50">
        <v>249600</v>
      </c>
      <c r="E79" s="30">
        <f>+(D79-$P79)/$P79</f>
        <v>-0.50079001580031601</v>
      </c>
      <c r="F79" s="50">
        <f t="shared" si="10"/>
        <v>10400</v>
      </c>
      <c r="G79" s="50">
        <v>249600</v>
      </c>
      <c r="H79" s="30">
        <f>+(G79-$P79)/$P79</f>
        <v>-0.50079001580031601</v>
      </c>
      <c r="I79" s="50">
        <f t="shared" si="11"/>
        <v>10400</v>
      </c>
      <c r="J79" s="50">
        <v>249600</v>
      </c>
      <c r="K79" s="30">
        <f>+(J79-$P79)/$P79</f>
        <v>-0.50079001580031601</v>
      </c>
      <c r="L79" s="50">
        <f t="shared" si="12"/>
        <v>20800</v>
      </c>
      <c r="M79" s="50">
        <v>285600</v>
      </c>
      <c r="N79" s="30">
        <f t="shared" si="13"/>
        <v>-0.42878857577151541</v>
      </c>
      <c r="O79" s="50">
        <f t="shared" si="14"/>
        <v>23800</v>
      </c>
      <c r="P79" s="50">
        <v>499990</v>
      </c>
      <c r="Q79" t="s">
        <v>782</v>
      </c>
      <c r="R79" t="e">
        <f>VLOOKUP(B79,#REF!,1,0)</f>
        <v>#REF!</v>
      </c>
      <c r="S79" s="50">
        <v>-117000</v>
      </c>
      <c r="T79" s="50">
        <v>3300</v>
      </c>
      <c r="U79" s="50">
        <v>-57600</v>
      </c>
      <c r="V79" s="50">
        <v>-117000</v>
      </c>
      <c r="W79" s="50">
        <v>3300</v>
      </c>
      <c r="X79" s="50">
        <v>-57600</v>
      </c>
      <c r="Y79" s="50">
        <v>-117000</v>
      </c>
      <c r="Z79" s="50">
        <v>3300</v>
      </c>
      <c r="AA79" s="50">
        <v>-57600</v>
      </c>
      <c r="AB79" s="50">
        <v>-38400</v>
      </c>
      <c r="AC79" s="50">
        <v>-7.6801536030720596E-2</v>
      </c>
      <c r="AD79" s="50">
        <v>-1600</v>
      </c>
      <c r="AE79" s="50">
        <v>-38400</v>
      </c>
      <c r="AF79" s="50">
        <v>-7.6801536030720596E-2</v>
      </c>
      <c r="AG79" s="50">
        <v>-1600</v>
      </c>
      <c r="AH79" s="50">
        <v>-38400</v>
      </c>
      <c r="AI79" s="50">
        <v>-7.6801536030720596E-2</v>
      </c>
      <c r="AJ79" s="50">
        <v>-3200</v>
      </c>
      <c r="AK79" s="50">
        <v>-38400</v>
      </c>
      <c r="AL79" s="50">
        <v>-7.6801536030720596E-2</v>
      </c>
      <c r="AM79" s="50">
        <v>-38400</v>
      </c>
      <c r="AN79" s="50">
        <v>-7.6801536030720596E-2</v>
      </c>
      <c r="AO79" s="50">
        <v>-3200</v>
      </c>
      <c r="AP79" s="50">
        <v>0</v>
      </c>
      <c r="AQ79" s="50">
        <v>0</v>
      </c>
      <c r="AR79" s="50">
        <v>0</v>
      </c>
      <c r="AT79" s="50">
        <v>139990</v>
      </c>
      <c r="AU79" s="50">
        <v>16500</v>
      </c>
      <c r="AV79" s="50">
        <v>436990</v>
      </c>
      <c r="AW79" s="50">
        <v>139990</v>
      </c>
      <c r="AX79" s="50">
        <v>16500</v>
      </c>
      <c r="AY79" s="50">
        <v>436990</v>
      </c>
      <c r="AZ79" s="50">
        <v>139990</v>
      </c>
      <c r="BA79" s="50">
        <v>16500</v>
      </c>
      <c r="BB79" s="50">
        <v>436990</v>
      </c>
      <c r="BC79" s="50">
        <v>288000</v>
      </c>
      <c r="BD79" s="50">
        <v>-0.42398847976959542</v>
      </c>
      <c r="BE79" s="50">
        <v>12000</v>
      </c>
      <c r="BF79" s="50">
        <v>288000</v>
      </c>
      <c r="BG79" s="50">
        <v>-0.42398847976959542</v>
      </c>
      <c r="BH79" s="50">
        <v>12000</v>
      </c>
      <c r="BI79" s="50">
        <v>288000</v>
      </c>
      <c r="BJ79" s="50">
        <v>-0.42398847976959542</v>
      </c>
      <c r="BK79" s="50">
        <v>24000</v>
      </c>
      <c r="BL79" s="50">
        <v>324000</v>
      </c>
      <c r="BM79" s="50">
        <v>-0.35198703974079482</v>
      </c>
      <c r="BN79" s="50">
        <v>324000</v>
      </c>
      <c r="BO79" s="50">
        <v>-0.35198703974079482</v>
      </c>
      <c r="BP79" s="50">
        <v>27000</v>
      </c>
      <c r="BQ79" s="50">
        <v>499990</v>
      </c>
      <c r="BR79" s="50" t="s">
        <v>745</v>
      </c>
      <c r="BS79" s="50" t="s">
        <v>746</v>
      </c>
    </row>
    <row r="80" spans="1:71" ht="15.75" customHeight="1" x14ac:dyDescent="0.2">
      <c r="A80" s="25" t="s">
        <v>558</v>
      </c>
      <c r="B80" s="26" t="s">
        <v>559</v>
      </c>
      <c r="C80" s="27" t="s">
        <v>401</v>
      </c>
      <c r="D80" s="50">
        <v>264000</v>
      </c>
      <c r="E80" s="30">
        <f>+(D80-$P80)/$P80</f>
        <v>-0.33998349958748969</v>
      </c>
      <c r="F80" s="50">
        <f t="shared" si="10"/>
        <v>11000</v>
      </c>
      <c r="G80" s="50">
        <v>264000</v>
      </c>
      <c r="H80" s="30">
        <f>+(G80-$P80)/$P80</f>
        <v>-0.33998349958748969</v>
      </c>
      <c r="I80" s="50">
        <f t="shared" si="11"/>
        <v>11000</v>
      </c>
      <c r="J80" s="50">
        <v>264000</v>
      </c>
      <c r="K80" s="30">
        <f>+(J80-$P80)/$P80</f>
        <v>-0.33998349958748969</v>
      </c>
      <c r="L80" s="50">
        <f t="shared" si="12"/>
        <v>22000</v>
      </c>
      <c r="M80" s="50">
        <v>300000</v>
      </c>
      <c r="N80" s="30">
        <f t="shared" si="13"/>
        <v>-0.24998124953123829</v>
      </c>
      <c r="O80" s="50">
        <f t="shared" si="14"/>
        <v>25000</v>
      </c>
      <c r="P80" s="50">
        <v>399990</v>
      </c>
      <c r="Q80" t="s">
        <v>783</v>
      </c>
      <c r="R80" t="e">
        <f>VLOOKUP(B80,#REF!,1,0)</f>
        <v>#REF!</v>
      </c>
      <c r="S80" s="50">
        <v>-94000</v>
      </c>
      <c r="T80" s="50">
        <v>5200</v>
      </c>
      <c r="U80" s="50">
        <v>-400</v>
      </c>
      <c r="V80" s="50">
        <v>-94000</v>
      </c>
      <c r="W80" s="50">
        <v>5200</v>
      </c>
      <c r="X80" s="50">
        <v>-400</v>
      </c>
      <c r="Y80" s="50">
        <v>-94000</v>
      </c>
      <c r="Z80" s="50">
        <v>5200</v>
      </c>
      <c r="AA80" s="50">
        <v>-400</v>
      </c>
      <c r="AB80" s="50">
        <v>0</v>
      </c>
      <c r="AC80" s="50">
        <v>0</v>
      </c>
      <c r="AD80" s="50">
        <v>0</v>
      </c>
      <c r="AE80" s="50">
        <v>0</v>
      </c>
      <c r="AF80" s="50">
        <v>0</v>
      </c>
      <c r="AG80" s="50">
        <v>0</v>
      </c>
      <c r="AH80" s="50">
        <v>0</v>
      </c>
      <c r="AI80" s="50">
        <v>0</v>
      </c>
      <c r="AJ80" s="50">
        <v>0</v>
      </c>
      <c r="AK80" s="50">
        <v>0</v>
      </c>
      <c r="AL80" s="50">
        <v>0</v>
      </c>
      <c r="AM80" s="50">
        <v>0</v>
      </c>
      <c r="AN80" s="50">
        <v>0</v>
      </c>
      <c r="AO80" s="50">
        <v>0</v>
      </c>
      <c r="AP80" s="50">
        <v>0</v>
      </c>
      <c r="AQ80" s="50">
        <v>0</v>
      </c>
      <c r="AR80" s="50">
        <v>0</v>
      </c>
      <c r="AT80" s="50">
        <v>129990</v>
      </c>
      <c r="AU80" s="50">
        <v>14500</v>
      </c>
      <c r="AV80" s="50">
        <v>390990</v>
      </c>
      <c r="AW80" s="50">
        <v>129990</v>
      </c>
      <c r="AX80" s="50">
        <v>14500</v>
      </c>
      <c r="AY80" s="50">
        <v>390990</v>
      </c>
      <c r="AZ80" s="50">
        <v>129990</v>
      </c>
      <c r="BA80" s="50">
        <v>14500</v>
      </c>
      <c r="BB80" s="50">
        <v>390990</v>
      </c>
      <c r="BC80" s="50">
        <v>264000</v>
      </c>
      <c r="BD80" s="50">
        <v>-0.33998349958748969</v>
      </c>
      <c r="BE80" s="50">
        <v>11000</v>
      </c>
      <c r="BF80" s="50">
        <v>264000</v>
      </c>
      <c r="BG80" s="50">
        <v>-0.33998349958748969</v>
      </c>
      <c r="BH80" s="50">
        <v>11000</v>
      </c>
      <c r="BI80" s="50">
        <v>264000</v>
      </c>
      <c r="BJ80" s="50">
        <v>-0.33998349958748969</v>
      </c>
      <c r="BK80" s="50">
        <v>22000</v>
      </c>
      <c r="BL80" s="50">
        <v>300000</v>
      </c>
      <c r="BM80" s="50">
        <v>-0.24998124953123829</v>
      </c>
      <c r="BN80" s="50">
        <v>300000</v>
      </c>
      <c r="BO80" s="50">
        <v>-0.24998124953123829</v>
      </c>
      <c r="BP80" s="50">
        <v>25000</v>
      </c>
      <c r="BQ80" s="50">
        <v>399990</v>
      </c>
      <c r="BR80" s="50" t="s">
        <v>745</v>
      </c>
      <c r="BS80" s="50" t="s">
        <v>746</v>
      </c>
    </row>
    <row r="81" spans="1:71" ht="15.75" customHeight="1" x14ac:dyDescent="0.2">
      <c r="A81" s="25" t="s">
        <v>560</v>
      </c>
      <c r="B81" s="26" t="s">
        <v>561</v>
      </c>
      <c r="C81" s="27" t="s">
        <v>401</v>
      </c>
      <c r="D81" s="50">
        <v>264000</v>
      </c>
      <c r="E81" s="30">
        <f>+(D81-$P81)/$P81</f>
        <v>-0.33998349958748969</v>
      </c>
      <c r="F81" s="50">
        <f t="shared" si="10"/>
        <v>11000</v>
      </c>
      <c r="G81" s="50">
        <v>264000</v>
      </c>
      <c r="H81" s="30">
        <f>+(G81-$P81)/$P81</f>
        <v>-0.33998349958748969</v>
      </c>
      <c r="I81" s="50">
        <f t="shared" si="11"/>
        <v>11000</v>
      </c>
      <c r="J81" s="50">
        <v>264000</v>
      </c>
      <c r="K81" s="30">
        <f>+(J81-$P81)/$P81</f>
        <v>-0.33998349958748969</v>
      </c>
      <c r="L81" s="50">
        <f t="shared" si="12"/>
        <v>22000</v>
      </c>
      <c r="M81" s="50">
        <v>300000</v>
      </c>
      <c r="N81" s="30">
        <f t="shared" si="13"/>
        <v>-0.24998124953123829</v>
      </c>
      <c r="O81" s="50">
        <f t="shared" si="14"/>
        <v>25000</v>
      </c>
      <c r="P81" s="50">
        <v>399990</v>
      </c>
      <c r="Q81" t="s">
        <v>783</v>
      </c>
      <c r="R81" t="e">
        <f>VLOOKUP(B81,#REF!,1,0)</f>
        <v>#REF!</v>
      </c>
      <c r="S81" s="50">
        <v>-94000</v>
      </c>
      <c r="T81" s="50">
        <v>5200</v>
      </c>
      <c r="U81" s="50">
        <v>-400</v>
      </c>
      <c r="V81" s="50">
        <v>-94000</v>
      </c>
      <c r="W81" s="50">
        <v>5200</v>
      </c>
      <c r="X81" s="50">
        <v>-400</v>
      </c>
      <c r="Y81" s="50">
        <v>-94000</v>
      </c>
      <c r="Z81" s="50">
        <v>5200</v>
      </c>
      <c r="AA81" s="50">
        <v>-400</v>
      </c>
      <c r="AB81" s="50">
        <v>0</v>
      </c>
      <c r="AC81" s="50">
        <v>0</v>
      </c>
      <c r="AD81" s="50">
        <v>0</v>
      </c>
      <c r="AE81" s="50">
        <v>0</v>
      </c>
      <c r="AF81" s="50">
        <v>0</v>
      </c>
      <c r="AG81" s="50">
        <v>0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  <c r="AM81" s="50">
        <v>0</v>
      </c>
      <c r="AN81" s="50">
        <v>0</v>
      </c>
      <c r="AO81" s="50">
        <v>0</v>
      </c>
      <c r="AP81" s="50">
        <v>0</v>
      </c>
      <c r="AQ81" s="50">
        <v>0</v>
      </c>
      <c r="AR81" s="50">
        <v>0</v>
      </c>
      <c r="AT81" s="50">
        <v>129990</v>
      </c>
      <c r="AU81" s="50">
        <v>14500</v>
      </c>
      <c r="AV81" s="50">
        <v>390990</v>
      </c>
      <c r="AW81" s="50">
        <v>129990</v>
      </c>
      <c r="AX81" s="50">
        <v>14500</v>
      </c>
      <c r="AY81" s="50">
        <v>390990</v>
      </c>
      <c r="AZ81" s="50">
        <v>129990</v>
      </c>
      <c r="BA81" s="50">
        <v>14500</v>
      </c>
      <c r="BB81" s="50">
        <v>390990</v>
      </c>
      <c r="BC81" s="50">
        <v>264000</v>
      </c>
      <c r="BD81" s="50">
        <v>-0.33998349958748969</v>
      </c>
      <c r="BE81" s="50">
        <v>11000</v>
      </c>
      <c r="BF81" s="50">
        <v>264000</v>
      </c>
      <c r="BG81" s="50">
        <v>-0.33998349958748969</v>
      </c>
      <c r="BH81" s="50">
        <v>11000</v>
      </c>
      <c r="BI81" s="50">
        <v>264000</v>
      </c>
      <c r="BJ81" s="50">
        <v>-0.33998349958748969</v>
      </c>
      <c r="BK81" s="50">
        <v>22000</v>
      </c>
      <c r="BL81" s="50">
        <v>300000</v>
      </c>
      <c r="BM81" s="50">
        <v>-0.24998124953123829</v>
      </c>
      <c r="BN81" s="50">
        <v>300000</v>
      </c>
      <c r="BO81" s="50">
        <v>-0.24998124953123829</v>
      </c>
      <c r="BP81" s="50">
        <v>25000</v>
      </c>
      <c r="BQ81" s="50">
        <v>399990</v>
      </c>
      <c r="BR81" s="50" t="s">
        <v>745</v>
      </c>
      <c r="BS81" s="50" t="s">
        <v>746</v>
      </c>
    </row>
    <row r="82" spans="1:71" ht="15.75" customHeight="1" x14ac:dyDescent="0.2">
      <c r="A82" s="25" t="s">
        <v>562</v>
      </c>
      <c r="B82" s="26" t="s">
        <v>563</v>
      </c>
      <c r="C82" s="27" t="s">
        <v>401</v>
      </c>
      <c r="D82" s="50">
        <v>264000</v>
      </c>
      <c r="E82" s="30">
        <f>+(D82-$P82)/$P82</f>
        <v>-0.33998349958748969</v>
      </c>
      <c r="F82" s="50">
        <f t="shared" si="10"/>
        <v>11000</v>
      </c>
      <c r="G82" s="50">
        <v>264000</v>
      </c>
      <c r="H82" s="30">
        <f>+(G82-$P82)/$P82</f>
        <v>-0.33998349958748969</v>
      </c>
      <c r="I82" s="50">
        <f t="shared" si="11"/>
        <v>11000</v>
      </c>
      <c r="J82" s="50">
        <v>264000</v>
      </c>
      <c r="K82" s="30">
        <f>+(J82-$P82)/$P82</f>
        <v>-0.33998349958748969</v>
      </c>
      <c r="L82" s="50">
        <f t="shared" si="12"/>
        <v>22000</v>
      </c>
      <c r="M82" s="50">
        <v>300000</v>
      </c>
      <c r="N82" s="30">
        <f t="shared" si="13"/>
        <v>-0.24998124953123829</v>
      </c>
      <c r="O82" s="50">
        <f t="shared" si="14"/>
        <v>25000</v>
      </c>
      <c r="P82" s="50">
        <v>399990</v>
      </c>
      <c r="Q82" t="s">
        <v>783</v>
      </c>
      <c r="R82" t="e">
        <f>VLOOKUP(B82,#REF!,1,0)</f>
        <v>#REF!</v>
      </c>
      <c r="S82" s="50">
        <v>-94000</v>
      </c>
      <c r="T82" s="50">
        <v>5200</v>
      </c>
      <c r="U82" s="50">
        <v>-400</v>
      </c>
      <c r="V82" s="50">
        <v>-94000</v>
      </c>
      <c r="W82" s="50">
        <v>5200</v>
      </c>
      <c r="X82" s="50">
        <v>-400</v>
      </c>
      <c r="Y82" s="50">
        <v>-94000</v>
      </c>
      <c r="Z82" s="50">
        <v>5200</v>
      </c>
      <c r="AA82" s="50">
        <v>-400</v>
      </c>
      <c r="AB82" s="50">
        <v>0</v>
      </c>
      <c r="AC82" s="50">
        <v>0</v>
      </c>
      <c r="AD82" s="50">
        <v>0</v>
      </c>
      <c r="AE82" s="50">
        <v>0</v>
      </c>
      <c r="AF82" s="50">
        <v>0</v>
      </c>
      <c r="AG82" s="50">
        <v>0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  <c r="AM82" s="50">
        <v>0</v>
      </c>
      <c r="AN82" s="50">
        <v>0</v>
      </c>
      <c r="AO82" s="50">
        <v>0</v>
      </c>
      <c r="AP82" s="50">
        <v>0</v>
      </c>
      <c r="AQ82" s="50">
        <v>0</v>
      </c>
      <c r="AR82" s="50">
        <v>0</v>
      </c>
      <c r="AT82" s="50">
        <v>129990</v>
      </c>
      <c r="AU82" s="50">
        <v>14500</v>
      </c>
      <c r="AV82" s="50">
        <v>390990</v>
      </c>
      <c r="AW82" s="50">
        <v>129990</v>
      </c>
      <c r="AX82" s="50">
        <v>14500</v>
      </c>
      <c r="AY82" s="50">
        <v>390990</v>
      </c>
      <c r="AZ82" s="50">
        <v>129990</v>
      </c>
      <c r="BA82" s="50">
        <v>14500</v>
      </c>
      <c r="BB82" s="50">
        <v>390990</v>
      </c>
      <c r="BC82" s="50">
        <v>264000</v>
      </c>
      <c r="BD82" s="50">
        <v>-0.33998349958748969</v>
      </c>
      <c r="BE82" s="50">
        <v>11000</v>
      </c>
      <c r="BF82" s="50">
        <v>264000</v>
      </c>
      <c r="BG82" s="50">
        <v>-0.33998349958748969</v>
      </c>
      <c r="BH82" s="50">
        <v>11000</v>
      </c>
      <c r="BI82" s="50">
        <v>264000</v>
      </c>
      <c r="BJ82" s="50">
        <v>-0.33998349958748969</v>
      </c>
      <c r="BK82" s="50">
        <v>22000</v>
      </c>
      <c r="BL82" s="50">
        <v>300000</v>
      </c>
      <c r="BM82" s="50">
        <v>-0.24998124953123829</v>
      </c>
      <c r="BN82" s="50">
        <v>300000</v>
      </c>
      <c r="BO82" s="50">
        <v>-0.24998124953123829</v>
      </c>
      <c r="BP82" s="50">
        <v>25000</v>
      </c>
      <c r="BQ82" s="50">
        <v>399990</v>
      </c>
      <c r="BR82" s="50" t="s">
        <v>745</v>
      </c>
      <c r="BS82" s="50" t="s">
        <v>746</v>
      </c>
    </row>
    <row r="83" spans="1:71" ht="15.75" customHeight="1" x14ac:dyDescent="0.2">
      <c r="A83" s="25" t="s">
        <v>564</v>
      </c>
      <c r="B83" s="26" t="s">
        <v>565</v>
      </c>
      <c r="C83" s="27" t="s">
        <v>401</v>
      </c>
      <c r="D83" s="50">
        <v>288000</v>
      </c>
      <c r="E83" s="30">
        <f>+(D83-$P83)/$P83</f>
        <v>-0.3302169817902742</v>
      </c>
      <c r="F83" s="50">
        <f t="shared" si="10"/>
        <v>12000</v>
      </c>
      <c r="G83" s="50">
        <v>288000</v>
      </c>
      <c r="H83" s="30">
        <f>+(G83-$P83)/$P83</f>
        <v>-0.3302169817902742</v>
      </c>
      <c r="I83" s="50">
        <f t="shared" si="11"/>
        <v>12000</v>
      </c>
      <c r="J83" s="50">
        <v>288000</v>
      </c>
      <c r="K83" s="30">
        <f>+(J83-$P83)/$P83</f>
        <v>-0.3302169817902742</v>
      </c>
      <c r="L83" s="50">
        <f t="shared" si="12"/>
        <v>24000</v>
      </c>
      <c r="M83" s="50">
        <v>366000</v>
      </c>
      <c r="N83" s="30">
        <f t="shared" si="13"/>
        <v>-0.14881741435847345</v>
      </c>
      <c r="O83" s="50">
        <f t="shared" si="14"/>
        <v>30500</v>
      </c>
      <c r="P83" s="50">
        <v>429990</v>
      </c>
      <c r="Q83" t="s">
        <v>817</v>
      </c>
      <c r="R83" t="e">
        <f>VLOOKUP(B83,#REF!,1,0)</f>
        <v>#REF!</v>
      </c>
      <c r="S83" s="50">
        <v>-94000</v>
      </c>
      <c r="T83" s="50">
        <v>5200</v>
      </c>
      <c r="U83" s="50">
        <v>-400</v>
      </c>
      <c r="V83" s="50">
        <v>-94000</v>
      </c>
      <c r="W83" s="50">
        <v>5200</v>
      </c>
      <c r="X83" s="50">
        <v>-400</v>
      </c>
      <c r="Y83" s="50">
        <v>-94000</v>
      </c>
      <c r="Z83" s="50">
        <v>5200</v>
      </c>
      <c r="AA83" s="50">
        <v>-400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50">
        <v>0</v>
      </c>
      <c r="AH83" s="50">
        <v>0</v>
      </c>
      <c r="AI83" s="50">
        <v>0</v>
      </c>
      <c r="AJ83" s="50">
        <v>0</v>
      </c>
      <c r="AK83" s="50">
        <v>0</v>
      </c>
      <c r="AL83" s="50">
        <v>0</v>
      </c>
      <c r="AM83" s="50">
        <v>0</v>
      </c>
      <c r="AN83" s="50">
        <v>0</v>
      </c>
      <c r="AO83" s="50">
        <v>0</v>
      </c>
      <c r="AP83" s="50">
        <v>0</v>
      </c>
      <c r="AQ83" s="50">
        <v>0</v>
      </c>
      <c r="AR83" s="50">
        <v>0</v>
      </c>
      <c r="AT83" s="50">
        <v>149990</v>
      </c>
      <c r="AU83" s="50">
        <v>16600</v>
      </c>
      <c r="AV83" s="50">
        <v>448790</v>
      </c>
      <c r="AW83" s="50">
        <v>149990</v>
      </c>
      <c r="AX83" s="50">
        <v>16600</v>
      </c>
      <c r="AY83" s="50">
        <v>448790</v>
      </c>
      <c r="AZ83" s="50">
        <v>149990</v>
      </c>
      <c r="BA83" s="50">
        <v>16600</v>
      </c>
      <c r="BB83" s="50">
        <v>448790</v>
      </c>
      <c r="BC83" s="50">
        <v>288000</v>
      </c>
      <c r="BD83" s="50">
        <v>-0.3302169817902742</v>
      </c>
      <c r="BE83" s="50">
        <v>12000</v>
      </c>
      <c r="BF83" s="50">
        <v>288000</v>
      </c>
      <c r="BG83" s="50">
        <v>-0.3302169817902742</v>
      </c>
      <c r="BH83" s="50">
        <v>12000</v>
      </c>
      <c r="BI83" s="50">
        <v>288000</v>
      </c>
      <c r="BJ83" s="50">
        <v>-0.3302169817902742</v>
      </c>
      <c r="BK83" s="50">
        <v>24000</v>
      </c>
      <c r="BL83" s="50">
        <v>366000</v>
      </c>
      <c r="BM83" s="50">
        <v>-0.14881741435847345</v>
      </c>
      <c r="BN83" s="50">
        <v>366000</v>
      </c>
      <c r="BO83" s="50">
        <v>-0.14881741435847345</v>
      </c>
      <c r="BP83" s="50">
        <v>30500</v>
      </c>
      <c r="BQ83" s="50">
        <v>429990</v>
      </c>
      <c r="BR83" s="50" t="s">
        <v>745</v>
      </c>
      <c r="BS83" s="50" t="s">
        <v>746</v>
      </c>
    </row>
    <row r="84" spans="1:71" ht="15.75" customHeight="1" x14ac:dyDescent="0.2">
      <c r="A84" s="25" t="s">
        <v>567</v>
      </c>
      <c r="B84" s="26" t="s">
        <v>568</v>
      </c>
      <c r="C84" s="27" t="s">
        <v>401</v>
      </c>
      <c r="D84" s="50">
        <v>288000</v>
      </c>
      <c r="E84" s="30">
        <f>+(D84-$P84)/$P84</f>
        <v>-0.3302169817902742</v>
      </c>
      <c r="F84" s="50">
        <f t="shared" si="10"/>
        <v>12000</v>
      </c>
      <c r="G84" s="50">
        <v>288000</v>
      </c>
      <c r="H84" s="30">
        <f>+(G84-$P84)/$P84</f>
        <v>-0.3302169817902742</v>
      </c>
      <c r="I84" s="50">
        <f t="shared" si="11"/>
        <v>12000</v>
      </c>
      <c r="J84" s="50">
        <v>288000</v>
      </c>
      <c r="K84" s="30">
        <f>+(J84-$P84)/$P84</f>
        <v>-0.3302169817902742</v>
      </c>
      <c r="L84" s="50">
        <f t="shared" si="12"/>
        <v>24000</v>
      </c>
      <c r="M84" s="50">
        <v>366000</v>
      </c>
      <c r="N84" s="30">
        <f t="shared" si="13"/>
        <v>-0.14881741435847345</v>
      </c>
      <c r="O84" s="50">
        <f t="shared" si="14"/>
        <v>30500</v>
      </c>
      <c r="P84" s="50">
        <v>429990</v>
      </c>
      <c r="Q84" t="s">
        <v>817</v>
      </c>
      <c r="R84" t="e">
        <f>VLOOKUP(B84,#REF!,1,0)</f>
        <v>#REF!</v>
      </c>
      <c r="S84" s="50">
        <v>-94000</v>
      </c>
      <c r="T84" s="50">
        <v>5200</v>
      </c>
      <c r="U84" s="50">
        <v>-400</v>
      </c>
      <c r="V84" s="50">
        <v>-94000</v>
      </c>
      <c r="W84" s="50">
        <v>5200</v>
      </c>
      <c r="X84" s="50">
        <v>-400</v>
      </c>
      <c r="Y84" s="50">
        <v>-94000</v>
      </c>
      <c r="Z84" s="50">
        <v>5200</v>
      </c>
      <c r="AA84" s="50">
        <v>-400</v>
      </c>
      <c r="AB84" s="50">
        <v>0</v>
      </c>
      <c r="AC84" s="50">
        <v>0</v>
      </c>
      <c r="AD84" s="50">
        <v>0</v>
      </c>
      <c r="AE84" s="50">
        <v>0</v>
      </c>
      <c r="AF84" s="50">
        <v>0</v>
      </c>
      <c r="AG84" s="50">
        <v>0</v>
      </c>
      <c r="AH84" s="50">
        <v>0</v>
      </c>
      <c r="AI84" s="50">
        <v>0</v>
      </c>
      <c r="AJ84" s="50">
        <v>0</v>
      </c>
      <c r="AK84" s="50">
        <v>0</v>
      </c>
      <c r="AL84" s="50">
        <v>0</v>
      </c>
      <c r="AM84" s="50">
        <v>0</v>
      </c>
      <c r="AN84" s="50">
        <v>0</v>
      </c>
      <c r="AO84" s="50">
        <v>0</v>
      </c>
      <c r="AP84" s="50">
        <v>0</v>
      </c>
      <c r="AQ84" s="50">
        <v>0</v>
      </c>
      <c r="AR84" s="50">
        <v>0</v>
      </c>
      <c r="AT84" s="50">
        <v>149990</v>
      </c>
      <c r="AU84" s="50">
        <v>16600</v>
      </c>
      <c r="AV84" s="50">
        <v>448790</v>
      </c>
      <c r="AW84" s="50">
        <v>149990</v>
      </c>
      <c r="AX84" s="50">
        <v>16600</v>
      </c>
      <c r="AY84" s="50">
        <v>448790</v>
      </c>
      <c r="AZ84" s="50">
        <v>149990</v>
      </c>
      <c r="BA84" s="50">
        <v>16600</v>
      </c>
      <c r="BB84" s="50">
        <v>448790</v>
      </c>
      <c r="BC84" s="50">
        <v>288000</v>
      </c>
      <c r="BD84" s="50">
        <v>-0.3302169817902742</v>
      </c>
      <c r="BE84" s="50">
        <v>12000</v>
      </c>
      <c r="BF84" s="50">
        <v>288000</v>
      </c>
      <c r="BG84" s="50">
        <v>-0.3302169817902742</v>
      </c>
      <c r="BH84" s="50">
        <v>12000</v>
      </c>
      <c r="BI84" s="50">
        <v>288000</v>
      </c>
      <c r="BJ84" s="50">
        <v>-0.3302169817902742</v>
      </c>
      <c r="BK84" s="50">
        <v>24000</v>
      </c>
      <c r="BL84" s="50">
        <v>366000</v>
      </c>
      <c r="BM84" s="50">
        <v>-0.14881741435847345</v>
      </c>
      <c r="BN84" s="50">
        <v>366000</v>
      </c>
      <c r="BO84" s="50">
        <v>-0.14881741435847345</v>
      </c>
      <c r="BP84" s="50">
        <v>30500</v>
      </c>
      <c r="BQ84" s="50">
        <v>429990</v>
      </c>
      <c r="BR84" s="50" t="s">
        <v>745</v>
      </c>
      <c r="BS84" s="50" t="s">
        <v>746</v>
      </c>
    </row>
    <row r="85" spans="1:71" ht="15.75" customHeight="1" x14ac:dyDescent="0.2">
      <c r="A85" s="25" t="s">
        <v>570</v>
      </c>
      <c r="B85" s="26" t="s">
        <v>571</v>
      </c>
      <c r="C85" s="27" t="s">
        <v>401</v>
      </c>
      <c r="D85" s="50">
        <v>312000</v>
      </c>
      <c r="E85" s="30">
        <f>+(D85-$P85)/$P85</f>
        <v>-0.30665125891686484</v>
      </c>
      <c r="F85" s="50">
        <f t="shared" si="10"/>
        <v>13000</v>
      </c>
      <c r="G85" s="50">
        <v>312000</v>
      </c>
      <c r="H85" s="30">
        <f>+(G85-$P85)/$P85</f>
        <v>-0.30665125891686484</v>
      </c>
      <c r="I85" s="50">
        <f t="shared" si="11"/>
        <v>13000</v>
      </c>
      <c r="J85" s="50">
        <v>312000</v>
      </c>
      <c r="K85" s="30">
        <f>+(J85-$P85)/$P85</f>
        <v>-0.30665125891686484</v>
      </c>
      <c r="L85" s="50">
        <f t="shared" si="12"/>
        <v>26000</v>
      </c>
      <c r="M85" s="50">
        <v>348000</v>
      </c>
      <c r="N85" s="30">
        <f t="shared" si="13"/>
        <v>-0.22664948109958</v>
      </c>
      <c r="O85" s="50">
        <f t="shared" si="14"/>
        <v>29000</v>
      </c>
      <c r="P85" s="50">
        <v>449990</v>
      </c>
      <c r="Q85" t="s">
        <v>818</v>
      </c>
      <c r="R85" t="e">
        <f>VLOOKUP(B85,#REF!,1,0)</f>
        <v>#REF!</v>
      </c>
      <c r="S85" s="50">
        <v>-48000</v>
      </c>
      <c r="T85" s="50">
        <v>2700</v>
      </c>
      <c r="U85" s="50">
        <v>600</v>
      </c>
      <c r="V85" s="50">
        <v>-48000</v>
      </c>
      <c r="W85" s="50">
        <v>2700</v>
      </c>
      <c r="X85" s="50">
        <v>600</v>
      </c>
      <c r="Y85" s="50">
        <v>-48000</v>
      </c>
      <c r="Z85" s="50">
        <v>2700</v>
      </c>
      <c r="AA85" s="50">
        <v>600</v>
      </c>
      <c r="AB85" s="50">
        <v>-24000</v>
      </c>
      <c r="AC85" s="50">
        <v>-5.3334518544856602E-2</v>
      </c>
      <c r="AD85" s="50">
        <v>-1000</v>
      </c>
      <c r="AE85" s="50">
        <v>-24000</v>
      </c>
      <c r="AF85" s="50">
        <v>-5.3334518544856602E-2</v>
      </c>
      <c r="AG85" s="50">
        <v>-1000</v>
      </c>
      <c r="AH85" s="50">
        <v>-24000</v>
      </c>
      <c r="AI85" s="50">
        <v>-5.3334518544856602E-2</v>
      </c>
      <c r="AJ85" s="50">
        <v>-2000</v>
      </c>
      <c r="AK85" s="50">
        <v>6000</v>
      </c>
      <c r="AL85" s="50">
        <v>1.3333629636214123E-2</v>
      </c>
      <c r="AM85" s="50">
        <v>6000</v>
      </c>
      <c r="AN85" s="50">
        <v>1.3333629636214123E-2</v>
      </c>
      <c r="AO85" s="50">
        <v>500</v>
      </c>
      <c r="AP85" s="50">
        <v>0</v>
      </c>
      <c r="AQ85" s="50">
        <v>0</v>
      </c>
      <c r="AR85" s="50">
        <v>0</v>
      </c>
      <c r="AT85" s="50">
        <v>189990</v>
      </c>
      <c r="AU85" s="50">
        <v>16600</v>
      </c>
      <c r="AV85" s="50">
        <v>488790</v>
      </c>
      <c r="AW85" s="50">
        <v>189990</v>
      </c>
      <c r="AX85" s="50">
        <v>16600</v>
      </c>
      <c r="AY85" s="50">
        <v>488790</v>
      </c>
      <c r="AZ85" s="50">
        <v>189990</v>
      </c>
      <c r="BA85" s="50">
        <v>16600</v>
      </c>
      <c r="BB85" s="50">
        <v>488790</v>
      </c>
      <c r="BC85" s="50">
        <v>336000</v>
      </c>
      <c r="BD85" s="50">
        <v>-0.25331674037200824</v>
      </c>
      <c r="BE85" s="50">
        <v>14000</v>
      </c>
      <c r="BF85" s="50">
        <v>336000</v>
      </c>
      <c r="BG85" s="50">
        <v>-0.25331674037200824</v>
      </c>
      <c r="BH85" s="50">
        <v>14000</v>
      </c>
      <c r="BI85" s="50">
        <v>336000</v>
      </c>
      <c r="BJ85" s="50">
        <v>-0.25331674037200824</v>
      </c>
      <c r="BK85" s="50">
        <v>28000</v>
      </c>
      <c r="BL85" s="50">
        <v>342000</v>
      </c>
      <c r="BM85" s="50">
        <v>-0.23998311073579412</v>
      </c>
      <c r="BN85" s="50">
        <v>342000</v>
      </c>
      <c r="BO85" s="50">
        <v>-0.23998311073579412</v>
      </c>
      <c r="BP85" s="50">
        <v>28500</v>
      </c>
      <c r="BQ85" s="50">
        <v>449990</v>
      </c>
      <c r="BR85" s="50" t="s">
        <v>745</v>
      </c>
      <c r="BS85" s="50" t="s">
        <v>746</v>
      </c>
    </row>
    <row r="86" spans="1:71" ht="15.75" customHeight="1" x14ac:dyDescent="0.2">
      <c r="A86" s="25" t="s">
        <v>572</v>
      </c>
      <c r="B86" s="26" t="s">
        <v>573</v>
      </c>
      <c r="C86" s="27" t="s">
        <v>401</v>
      </c>
      <c r="D86" s="50">
        <v>312000</v>
      </c>
      <c r="E86" s="30">
        <f>+(D86-$P86)/$P86</f>
        <v>-0.30665125891686484</v>
      </c>
      <c r="F86" s="50">
        <f t="shared" si="10"/>
        <v>13000</v>
      </c>
      <c r="G86" s="50">
        <v>312000</v>
      </c>
      <c r="H86" s="30">
        <f>+(G86-$P86)/$P86</f>
        <v>-0.30665125891686484</v>
      </c>
      <c r="I86" s="50">
        <f t="shared" si="11"/>
        <v>13000</v>
      </c>
      <c r="J86" s="50">
        <v>312000</v>
      </c>
      <c r="K86" s="30">
        <f>+(J86-$P86)/$P86</f>
        <v>-0.30665125891686484</v>
      </c>
      <c r="L86" s="50">
        <f t="shared" si="12"/>
        <v>26000</v>
      </c>
      <c r="M86" s="50">
        <v>348000</v>
      </c>
      <c r="N86" s="30">
        <f t="shared" si="13"/>
        <v>-0.22664948109958</v>
      </c>
      <c r="O86" s="50">
        <f t="shared" si="14"/>
        <v>29000</v>
      </c>
      <c r="P86" s="50">
        <v>449990</v>
      </c>
      <c r="Q86" t="s">
        <v>818</v>
      </c>
      <c r="R86" t="e">
        <f>VLOOKUP(B86,#REF!,1,0)</f>
        <v>#REF!</v>
      </c>
      <c r="S86" s="50">
        <v>-48000</v>
      </c>
      <c r="T86" s="50">
        <v>2700</v>
      </c>
      <c r="U86" s="50">
        <v>600</v>
      </c>
      <c r="V86" s="50">
        <v>-48000</v>
      </c>
      <c r="W86" s="50">
        <v>2700</v>
      </c>
      <c r="X86" s="50">
        <v>600</v>
      </c>
      <c r="Y86" s="50">
        <v>-48000</v>
      </c>
      <c r="Z86" s="50">
        <v>2700</v>
      </c>
      <c r="AA86" s="50">
        <v>600</v>
      </c>
      <c r="AB86" s="50">
        <v>-24000</v>
      </c>
      <c r="AC86" s="50">
        <v>-5.3334518544856602E-2</v>
      </c>
      <c r="AD86" s="50">
        <v>-1000</v>
      </c>
      <c r="AE86" s="50">
        <v>-24000</v>
      </c>
      <c r="AF86" s="50">
        <v>-5.3334518544856602E-2</v>
      </c>
      <c r="AG86" s="50">
        <v>-1000</v>
      </c>
      <c r="AH86" s="50">
        <v>-24000</v>
      </c>
      <c r="AI86" s="50">
        <v>-5.3334518544856602E-2</v>
      </c>
      <c r="AJ86" s="50">
        <v>-2000</v>
      </c>
      <c r="AK86" s="50">
        <v>6000</v>
      </c>
      <c r="AL86" s="50">
        <v>1.3333629636214123E-2</v>
      </c>
      <c r="AM86" s="50">
        <v>6000</v>
      </c>
      <c r="AN86" s="50">
        <v>1.3333629636214123E-2</v>
      </c>
      <c r="AO86" s="50">
        <v>500</v>
      </c>
      <c r="AP86" s="50">
        <v>0</v>
      </c>
      <c r="AQ86" s="50">
        <v>0</v>
      </c>
      <c r="AR86" s="50">
        <v>0</v>
      </c>
      <c r="AT86" s="50">
        <v>189990</v>
      </c>
      <c r="AU86" s="50">
        <v>16600</v>
      </c>
      <c r="AV86" s="50">
        <v>488790</v>
      </c>
      <c r="AW86" s="50">
        <v>189990</v>
      </c>
      <c r="AX86" s="50">
        <v>16600</v>
      </c>
      <c r="AY86" s="50">
        <v>488790</v>
      </c>
      <c r="AZ86" s="50">
        <v>189990</v>
      </c>
      <c r="BA86" s="50">
        <v>16600</v>
      </c>
      <c r="BB86" s="50">
        <v>488790</v>
      </c>
      <c r="BC86" s="50">
        <v>336000</v>
      </c>
      <c r="BD86" s="50">
        <v>-0.25331674037200824</v>
      </c>
      <c r="BE86" s="50">
        <v>14000</v>
      </c>
      <c r="BF86" s="50">
        <v>336000</v>
      </c>
      <c r="BG86" s="50">
        <v>-0.25331674037200824</v>
      </c>
      <c r="BH86" s="50">
        <v>14000</v>
      </c>
      <c r="BI86" s="50">
        <v>336000</v>
      </c>
      <c r="BJ86" s="50">
        <v>-0.25331674037200824</v>
      </c>
      <c r="BK86" s="50">
        <v>28000</v>
      </c>
      <c r="BL86" s="50">
        <v>342000</v>
      </c>
      <c r="BM86" s="50">
        <v>-0.23998311073579412</v>
      </c>
      <c r="BN86" s="50">
        <v>342000</v>
      </c>
      <c r="BO86" s="50">
        <v>-0.23998311073579412</v>
      </c>
      <c r="BP86" s="50">
        <v>28500</v>
      </c>
      <c r="BQ86" s="50">
        <v>449990</v>
      </c>
      <c r="BR86" s="50" t="s">
        <v>745</v>
      </c>
      <c r="BS86" s="50" t="s">
        <v>746</v>
      </c>
    </row>
    <row r="87" spans="1:71" ht="15.75" customHeight="1" x14ac:dyDescent="0.2">
      <c r="A87" s="25" t="s">
        <v>574</v>
      </c>
      <c r="B87" s="26" t="s">
        <v>575</v>
      </c>
      <c r="C87" s="27" t="s">
        <v>401</v>
      </c>
      <c r="D87" s="50">
        <v>312000</v>
      </c>
      <c r="E87" s="30">
        <f>+(D87-$P87)/$P87</f>
        <v>-0.30665125891686484</v>
      </c>
      <c r="F87" s="50">
        <f t="shared" si="10"/>
        <v>13000</v>
      </c>
      <c r="G87" s="50">
        <v>312000</v>
      </c>
      <c r="H87" s="30">
        <f>+(G87-$P87)/$P87</f>
        <v>-0.30665125891686484</v>
      </c>
      <c r="I87" s="50">
        <f t="shared" si="11"/>
        <v>13000</v>
      </c>
      <c r="J87" s="50">
        <v>312000</v>
      </c>
      <c r="K87" s="30">
        <f>+(J87-$P87)/$P87</f>
        <v>-0.30665125891686484</v>
      </c>
      <c r="L87" s="50">
        <f t="shared" si="12"/>
        <v>26000</v>
      </c>
      <c r="M87" s="50">
        <v>348000</v>
      </c>
      <c r="N87" s="30">
        <f t="shared" si="13"/>
        <v>-0.22664948109958</v>
      </c>
      <c r="O87" s="50">
        <f t="shared" si="14"/>
        <v>29000</v>
      </c>
      <c r="P87" s="50">
        <v>449990</v>
      </c>
      <c r="Q87" t="s">
        <v>818</v>
      </c>
      <c r="R87" t="e">
        <f>VLOOKUP(B87,#REF!,1,0)</f>
        <v>#REF!</v>
      </c>
      <c r="S87" s="50">
        <v>-48000</v>
      </c>
      <c r="T87" s="50">
        <v>2700</v>
      </c>
      <c r="U87" s="50">
        <v>600</v>
      </c>
      <c r="V87" s="50">
        <v>-48000</v>
      </c>
      <c r="W87" s="50">
        <v>2700</v>
      </c>
      <c r="X87" s="50">
        <v>600</v>
      </c>
      <c r="Y87" s="50">
        <v>-48000</v>
      </c>
      <c r="Z87" s="50">
        <v>2700</v>
      </c>
      <c r="AA87" s="50">
        <v>600</v>
      </c>
      <c r="AB87" s="50">
        <v>-24000</v>
      </c>
      <c r="AC87" s="50">
        <v>-5.3334518544856602E-2</v>
      </c>
      <c r="AD87" s="50">
        <v>-1000</v>
      </c>
      <c r="AE87" s="50">
        <v>-24000</v>
      </c>
      <c r="AF87" s="50">
        <v>-5.3334518544856602E-2</v>
      </c>
      <c r="AG87" s="50">
        <v>-1000</v>
      </c>
      <c r="AH87" s="50">
        <v>-24000</v>
      </c>
      <c r="AI87" s="50">
        <v>-5.3334518544856602E-2</v>
      </c>
      <c r="AJ87" s="50">
        <v>-2000</v>
      </c>
      <c r="AK87" s="50">
        <v>6000</v>
      </c>
      <c r="AL87" s="50">
        <v>1.3333629636214123E-2</v>
      </c>
      <c r="AM87" s="50">
        <v>6000</v>
      </c>
      <c r="AN87" s="50">
        <v>1.3333629636214123E-2</v>
      </c>
      <c r="AO87" s="50">
        <v>500</v>
      </c>
      <c r="AP87" s="50">
        <v>0</v>
      </c>
      <c r="AQ87" s="50">
        <v>0</v>
      </c>
      <c r="AR87" s="50">
        <v>0</v>
      </c>
      <c r="AT87" s="50">
        <v>189990</v>
      </c>
      <c r="AU87" s="50">
        <v>16600</v>
      </c>
      <c r="AV87" s="50">
        <v>488790</v>
      </c>
      <c r="AW87" s="50">
        <v>189990</v>
      </c>
      <c r="AX87" s="50">
        <v>16600</v>
      </c>
      <c r="AY87" s="50">
        <v>488790</v>
      </c>
      <c r="AZ87" s="50">
        <v>189990</v>
      </c>
      <c r="BA87" s="50">
        <v>16600</v>
      </c>
      <c r="BB87" s="50">
        <v>488790</v>
      </c>
      <c r="BC87" s="50">
        <v>336000</v>
      </c>
      <c r="BD87" s="50">
        <v>-0.25331674037200824</v>
      </c>
      <c r="BE87" s="50">
        <v>14000</v>
      </c>
      <c r="BF87" s="50">
        <v>336000</v>
      </c>
      <c r="BG87" s="50">
        <v>-0.25331674037200824</v>
      </c>
      <c r="BH87" s="50">
        <v>14000</v>
      </c>
      <c r="BI87" s="50">
        <v>336000</v>
      </c>
      <c r="BJ87" s="50">
        <v>-0.25331674037200824</v>
      </c>
      <c r="BK87" s="50">
        <v>28000</v>
      </c>
      <c r="BL87" s="50">
        <v>342000</v>
      </c>
      <c r="BM87" s="50">
        <v>-0.23998311073579412</v>
      </c>
      <c r="BN87" s="50">
        <v>342000</v>
      </c>
      <c r="BO87" s="50">
        <v>-0.23998311073579412</v>
      </c>
      <c r="BP87" s="50">
        <v>28500</v>
      </c>
      <c r="BQ87" s="50">
        <v>449990</v>
      </c>
      <c r="BR87" s="50" t="s">
        <v>745</v>
      </c>
      <c r="BS87" s="50" t="s">
        <v>746</v>
      </c>
    </row>
    <row r="88" spans="1:71" ht="15.75" customHeight="1" x14ac:dyDescent="0.2">
      <c r="A88" s="25" t="s">
        <v>576</v>
      </c>
      <c r="B88" s="26" t="s">
        <v>577</v>
      </c>
      <c r="C88" s="27" t="s">
        <v>401</v>
      </c>
      <c r="D88" s="50">
        <v>312000</v>
      </c>
      <c r="E88" s="30">
        <f>+(D88-$P88)/$P88</f>
        <v>-0.30665125891686484</v>
      </c>
      <c r="F88" s="50">
        <f t="shared" si="10"/>
        <v>13000</v>
      </c>
      <c r="G88" s="50">
        <v>312000</v>
      </c>
      <c r="H88" s="30">
        <f>+(G88-$P88)/$P88</f>
        <v>-0.30665125891686484</v>
      </c>
      <c r="I88" s="50">
        <f t="shared" si="11"/>
        <v>13000</v>
      </c>
      <c r="J88" s="50">
        <v>312000</v>
      </c>
      <c r="K88" s="30">
        <f>+(J88-$P88)/$P88</f>
        <v>-0.30665125891686484</v>
      </c>
      <c r="L88" s="50">
        <f t="shared" si="12"/>
        <v>26000</v>
      </c>
      <c r="M88" s="50">
        <v>348000</v>
      </c>
      <c r="N88" s="30">
        <f t="shared" si="13"/>
        <v>-0.22664948109958</v>
      </c>
      <c r="O88" s="50">
        <f t="shared" si="14"/>
        <v>29000</v>
      </c>
      <c r="P88" s="50">
        <v>449990</v>
      </c>
      <c r="Q88" t="s">
        <v>818</v>
      </c>
      <c r="R88" t="e">
        <f>VLOOKUP(B88,#REF!,1,0)</f>
        <v>#REF!</v>
      </c>
      <c r="S88" s="50">
        <v>-48000</v>
      </c>
      <c r="T88" s="50">
        <v>2700</v>
      </c>
      <c r="U88" s="50">
        <v>600</v>
      </c>
      <c r="V88" s="50">
        <v>-48000</v>
      </c>
      <c r="W88" s="50">
        <v>2700</v>
      </c>
      <c r="X88" s="50">
        <v>600</v>
      </c>
      <c r="Y88" s="50">
        <v>-48000</v>
      </c>
      <c r="Z88" s="50">
        <v>2700</v>
      </c>
      <c r="AA88" s="50">
        <v>600</v>
      </c>
      <c r="AB88" s="50">
        <v>-24000</v>
      </c>
      <c r="AC88" s="50">
        <v>-5.3334518544856602E-2</v>
      </c>
      <c r="AD88" s="50">
        <v>-1000</v>
      </c>
      <c r="AE88" s="50">
        <v>-24000</v>
      </c>
      <c r="AF88" s="50">
        <v>-5.3334518544856602E-2</v>
      </c>
      <c r="AG88" s="50">
        <v>-1000</v>
      </c>
      <c r="AH88" s="50">
        <v>-24000</v>
      </c>
      <c r="AI88" s="50">
        <v>-5.3334518544856602E-2</v>
      </c>
      <c r="AJ88" s="50">
        <v>-2000</v>
      </c>
      <c r="AK88" s="50">
        <v>6000</v>
      </c>
      <c r="AL88" s="50">
        <v>1.3333629636214123E-2</v>
      </c>
      <c r="AM88" s="50">
        <v>6000</v>
      </c>
      <c r="AN88" s="50">
        <v>1.3333629636214123E-2</v>
      </c>
      <c r="AO88" s="50">
        <v>500</v>
      </c>
      <c r="AP88" s="50">
        <v>0</v>
      </c>
      <c r="AQ88" s="50">
        <v>0</v>
      </c>
      <c r="AR88" s="50">
        <v>0</v>
      </c>
      <c r="AT88" s="50">
        <v>189990</v>
      </c>
      <c r="AU88" s="50">
        <v>16600</v>
      </c>
      <c r="AV88" s="50">
        <v>488790</v>
      </c>
      <c r="AW88" s="50">
        <v>189990</v>
      </c>
      <c r="AX88" s="50">
        <v>16600</v>
      </c>
      <c r="AY88" s="50">
        <v>488790</v>
      </c>
      <c r="AZ88" s="50">
        <v>189990</v>
      </c>
      <c r="BA88" s="50">
        <v>16600</v>
      </c>
      <c r="BB88" s="50">
        <v>488790</v>
      </c>
      <c r="BC88" s="50">
        <v>336000</v>
      </c>
      <c r="BD88" s="50">
        <v>-0.25331674037200824</v>
      </c>
      <c r="BE88" s="50">
        <v>14000</v>
      </c>
      <c r="BF88" s="50">
        <v>336000</v>
      </c>
      <c r="BG88" s="50">
        <v>-0.25331674037200824</v>
      </c>
      <c r="BH88" s="50">
        <v>14000</v>
      </c>
      <c r="BI88" s="50">
        <v>336000</v>
      </c>
      <c r="BJ88" s="50">
        <v>-0.25331674037200824</v>
      </c>
      <c r="BK88" s="50">
        <v>28000</v>
      </c>
      <c r="BL88" s="50">
        <v>342000</v>
      </c>
      <c r="BM88" s="50">
        <v>-0.23998311073579412</v>
      </c>
      <c r="BN88" s="50">
        <v>342000</v>
      </c>
      <c r="BO88" s="50">
        <v>-0.23998311073579412</v>
      </c>
      <c r="BP88" s="50">
        <v>28500</v>
      </c>
      <c r="BQ88" s="50">
        <v>449990</v>
      </c>
      <c r="BR88" s="50" t="s">
        <v>745</v>
      </c>
      <c r="BS88" s="50" t="s">
        <v>746</v>
      </c>
    </row>
    <row r="89" spans="1:71" ht="15.75" customHeight="1" x14ac:dyDescent="0.2">
      <c r="A89" s="25" t="s">
        <v>578</v>
      </c>
      <c r="B89" s="26" t="s">
        <v>579</v>
      </c>
      <c r="C89" s="27" t="s">
        <v>401</v>
      </c>
      <c r="D89" s="50">
        <v>316800</v>
      </c>
      <c r="E89" s="30">
        <f>+(D89-$P89)/$P89</f>
        <v>-0.29598435520789351</v>
      </c>
      <c r="F89" s="50">
        <f t="shared" si="10"/>
        <v>13200</v>
      </c>
      <c r="G89" s="50">
        <v>316800</v>
      </c>
      <c r="H89" s="30">
        <f>+(G89-$P89)/$P89</f>
        <v>-0.29598435520789351</v>
      </c>
      <c r="I89" s="50">
        <f t="shared" si="11"/>
        <v>13200</v>
      </c>
      <c r="J89" s="50">
        <v>360000</v>
      </c>
      <c r="K89" s="30">
        <f>+(J89-$P89)/$P89</f>
        <v>-0.19998222182715172</v>
      </c>
      <c r="L89" s="50">
        <f t="shared" si="12"/>
        <v>30000</v>
      </c>
      <c r="M89" s="50">
        <v>360000</v>
      </c>
      <c r="N89" s="30">
        <f t="shared" si="13"/>
        <v>-0.19998222182715172</v>
      </c>
      <c r="O89" s="50">
        <f t="shared" si="14"/>
        <v>30000</v>
      </c>
      <c r="P89" s="50">
        <v>449990</v>
      </c>
      <c r="Q89" t="s">
        <v>784</v>
      </c>
      <c r="R89" t="e">
        <f>VLOOKUP(B89,#REF!,1,0)</f>
        <v>#REF!</v>
      </c>
      <c r="S89" s="50">
        <v>-41000</v>
      </c>
      <c r="T89" s="50">
        <v>2300</v>
      </c>
      <c r="U89" s="50">
        <v>400</v>
      </c>
      <c r="V89" s="50">
        <v>-41000</v>
      </c>
      <c r="W89" s="50">
        <v>2300</v>
      </c>
      <c r="X89" s="50">
        <v>400</v>
      </c>
      <c r="Y89" s="50">
        <v>-41000</v>
      </c>
      <c r="Z89" s="50">
        <v>2300</v>
      </c>
      <c r="AA89" s="50">
        <v>400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0">
        <v>0</v>
      </c>
      <c r="AJ89" s="50">
        <v>0</v>
      </c>
      <c r="AK89" s="50">
        <v>0</v>
      </c>
      <c r="AL89" s="50">
        <v>0</v>
      </c>
      <c r="AM89" s="50">
        <v>0</v>
      </c>
      <c r="AN89" s="50">
        <v>0</v>
      </c>
      <c r="AO89" s="50">
        <v>0</v>
      </c>
      <c r="AP89" s="50">
        <v>0</v>
      </c>
      <c r="AQ89" s="50">
        <v>0</v>
      </c>
      <c r="AR89" s="50">
        <v>0</v>
      </c>
      <c r="AT89" s="50">
        <v>179990</v>
      </c>
      <c r="AU89" s="50">
        <v>16000</v>
      </c>
      <c r="AV89" s="50">
        <v>467990</v>
      </c>
      <c r="AW89" s="50">
        <v>179990</v>
      </c>
      <c r="AX89" s="50">
        <v>16000</v>
      </c>
      <c r="AY89" s="50">
        <v>467990</v>
      </c>
      <c r="AZ89" s="50">
        <v>179990</v>
      </c>
      <c r="BA89" s="50">
        <v>16000</v>
      </c>
      <c r="BB89" s="50">
        <v>467990</v>
      </c>
      <c r="BC89" s="50">
        <v>316800</v>
      </c>
      <c r="BD89" s="50">
        <v>-0.29598435520789351</v>
      </c>
      <c r="BE89" s="50">
        <v>13200</v>
      </c>
      <c r="BF89" s="50">
        <v>316800</v>
      </c>
      <c r="BG89" s="50">
        <v>-0.29598435520789351</v>
      </c>
      <c r="BH89" s="50">
        <v>13200</v>
      </c>
      <c r="BI89" s="50">
        <v>360000</v>
      </c>
      <c r="BJ89" s="50">
        <v>-0.19998222182715172</v>
      </c>
      <c r="BK89" s="50">
        <v>30000</v>
      </c>
      <c r="BL89" s="50">
        <v>360000</v>
      </c>
      <c r="BM89" s="50">
        <v>-0.19998222182715172</v>
      </c>
      <c r="BN89" s="50">
        <v>360000</v>
      </c>
      <c r="BO89" s="50">
        <v>-0.19998222182715172</v>
      </c>
      <c r="BP89" s="50">
        <v>30000</v>
      </c>
      <c r="BQ89" s="50">
        <v>449990</v>
      </c>
      <c r="BR89" s="50" t="s">
        <v>745</v>
      </c>
      <c r="BS89" s="50" t="s">
        <v>746</v>
      </c>
    </row>
    <row r="90" spans="1:71" ht="15.75" customHeight="1" x14ac:dyDescent="0.2">
      <c r="A90" s="25" t="s">
        <v>580</v>
      </c>
      <c r="B90" s="26" t="s">
        <v>581</v>
      </c>
      <c r="C90" s="27" t="s">
        <v>401</v>
      </c>
      <c r="D90" s="50">
        <v>316800</v>
      </c>
      <c r="E90" s="30">
        <f>+(D90-$P90)/$P90</f>
        <v>-0.29598435520789351</v>
      </c>
      <c r="F90" s="50">
        <f t="shared" si="10"/>
        <v>13200</v>
      </c>
      <c r="G90" s="50">
        <v>316800</v>
      </c>
      <c r="H90" s="30">
        <f>+(G90-$P90)/$P90</f>
        <v>-0.29598435520789351</v>
      </c>
      <c r="I90" s="50">
        <f t="shared" si="11"/>
        <v>13200</v>
      </c>
      <c r="J90" s="50">
        <v>360000</v>
      </c>
      <c r="K90" s="30">
        <f>+(J90-$P90)/$P90</f>
        <v>-0.19998222182715172</v>
      </c>
      <c r="L90" s="50">
        <f t="shared" si="12"/>
        <v>30000</v>
      </c>
      <c r="M90" s="50">
        <v>360000</v>
      </c>
      <c r="N90" s="30">
        <f t="shared" si="13"/>
        <v>-0.19998222182715172</v>
      </c>
      <c r="O90" s="50">
        <f t="shared" si="14"/>
        <v>30000</v>
      </c>
      <c r="P90" s="50">
        <v>449990</v>
      </c>
      <c r="Q90" t="s">
        <v>784</v>
      </c>
      <c r="R90" t="e">
        <f>VLOOKUP(B90,#REF!,1,0)</f>
        <v>#REF!</v>
      </c>
      <c r="S90" s="50">
        <v>-41000</v>
      </c>
      <c r="T90" s="50">
        <v>2300</v>
      </c>
      <c r="U90" s="50">
        <v>400</v>
      </c>
      <c r="V90" s="50">
        <v>-41000</v>
      </c>
      <c r="W90" s="50">
        <v>2300</v>
      </c>
      <c r="X90" s="50">
        <v>400</v>
      </c>
      <c r="Y90" s="50">
        <v>-41000</v>
      </c>
      <c r="Z90" s="50">
        <v>2300</v>
      </c>
      <c r="AA90" s="50">
        <v>400</v>
      </c>
      <c r="AB90" s="50">
        <v>0</v>
      </c>
      <c r="AC90" s="50">
        <v>0</v>
      </c>
      <c r="AD90" s="50">
        <v>0</v>
      </c>
      <c r="AE90" s="50">
        <v>0</v>
      </c>
      <c r="AF90" s="50">
        <v>0</v>
      </c>
      <c r="AG90" s="50">
        <v>0</v>
      </c>
      <c r="AH90" s="50">
        <v>0</v>
      </c>
      <c r="AI90" s="50">
        <v>0</v>
      </c>
      <c r="AJ90" s="50">
        <v>0</v>
      </c>
      <c r="AK90" s="50">
        <v>0</v>
      </c>
      <c r="AL90" s="50">
        <v>0</v>
      </c>
      <c r="AM90" s="50">
        <v>0</v>
      </c>
      <c r="AN90" s="50">
        <v>0</v>
      </c>
      <c r="AO90" s="50">
        <v>0</v>
      </c>
      <c r="AP90" s="50">
        <v>0</v>
      </c>
      <c r="AQ90" s="50">
        <v>0</v>
      </c>
      <c r="AR90" s="50">
        <v>0</v>
      </c>
      <c r="AT90" s="50">
        <v>179990</v>
      </c>
      <c r="AU90" s="50">
        <v>16000</v>
      </c>
      <c r="AV90" s="50">
        <v>467990</v>
      </c>
      <c r="AW90" s="50">
        <v>179990</v>
      </c>
      <c r="AX90" s="50">
        <v>16000</v>
      </c>
      <c r="AY90" s="50">
        <v>467990</v>
      </c>
      <c r="AZ90" s="50">
        <v>179990</v>
      </c>
      <c r="BA90" s="50">
        <v>16000</v>
      </c>
      <c r="BB90" s="50">
        <v>467990</v>
      </c>
      <c r="BC90" s="50">
        <v>316800</v>
      </c>
      <c r="BD90" s="50">
        <v>-0.29598435520789351</v>
      </c>
      <c r="BE90" s="50">
        <v>13200</v>
      </c>
      <c r="BF90" s="50">
        <v>316800</v>
      </c>
      <c r="BG90" s="50">
        <v>-0.29598435520789351</v>
      </c>
      <c r="BH90" s="50">
        <v>13200</v>
      </c>
      <c r="BI90" s="50">
        <v>360000</v>
      </c>
      <c r="BJ90" s="50">
        <v>-0.19998222182715172</v>
      </c>
      <c r="BK90" s="50">
        <v>30000</v>
      </c>
      <c r="BL90" s="50">
        <v>360000</v>
      </c>
      <c r="BM90" s="50">
        <v>-0.19998222182715172</v>
      </c>
      <c r="BN90" s="50">
        <v>360000</v>
      </c>
      <c r="BO90" s="50">
        <v>-0.19998222182715172</v>
      </c>
      <c r="BP90" s="50">
        <v>30000</v>
      </c>
      <c r="BQ90" s="50">
        <v>449990</v>
      </c>
      <c r="BR90" s="50" t="s">
        <v>745</v>
      </c>
      <c r="BS90" s="50" t="s">
        <v>746</v>
      </c>
    </row>
    <row r="91" spans="1:71" ht="15.75" customHeight="1" x14ac:dyDescent="0.2">
      <c r="A91" s="25" t="s">
        <v>582</v>
      </c>
      <c r="B91" s="26" t="s">
        <v>583</v>
      </c>
      <c r="C91" s="27" t="s">
        <v>401</v>
      </c>
      <c r="D91" s="50">
        <v>388800</v>
      </c>
      <c r="E91" s="30">
        <f>+(D91-$P91)/$P91</f>
        <v>-0.17274835634800739</v>
      </c>
      <c r="F91" s="50">
        <f t="shared" si="10"/>
        <v>16200</v>
      </c>
      <c r="G91" s="50">
        <v>388800</v>
      </c>
      <c r="H91" s="30">
        <f>+(G91-$P91)/$P91</f>
        <v>-0.17274835634800739</v>
      </c>
      <c r="I91" s="50">
        <f t="shared" si="11"/>
        <v>16200</v>
      </c>
      <c r="J91" s="50">
        <v>388800</v>
      </c>
      <c r="K91" s="30">
        <f>+(J91-$P91)/$P91</f>
        <v>-0.17274835634800739</v>
      </c>
      <c r="L91" s="50">
        <f t="shared" si="12"/>
        <v>32400</v>
      </c>
      <c r="M91" s="50">
        <v>508800</v>
      </c>
      <c r="N91" s="30">
        <f t="shared" si="13"/>
        <v>8.257622502606439E-2</v>
      </c>
      <c r="O91" s="50">
        <f t="shared" si="14"/>
        <v>42400</v>
      </c>
      <c r="P91" s="50">
        <v>469990</v>
      </c>
      <c r="Q91" t="s">
        <v>785</v>
      </c>
      <c r="R91" t="e">
        <f>VLOOKUP(B91,#REF!,1,0)</f>
        <v>#REF!</v>
      </c>
      <c r="S91" s="50">
        <v>-54000</v>
      </c>
      <c r="T91" s="50">
        <v>3100</v>
      </c>
      <c r="U91" s="50">
        <v>1800</v>
      </c>
      <c r="V91" s="50">
        <v>-54000</v>
      </c>
      <c r="W91" s="50">
        <v>3100</v>
      </c>
      <c r="X91" s="50">
        <v>1800</v>
      </c>
      <c r="Y91" s="50">
        <v>-54000</v>
      </c>
      <c r="Z91" s="50">
        <v>3100</v>
      </c>
      <c r="AA91" s="50">
        <v>1800</v>
      </c>
      <c r="AB91" s="50">
        <v>-7200</v>
      </c>
      <c r="AC91" s="50">
        <v>-1.5319474882444284E-2</v>
      </c>
      <c r="AD91" s="50">
        <v>-300</v>
      </c>
      <c r="AE91" s="50">
        <v>-7200</v>
      </c>
      <c r="AF91" s="50">
        <v>-1.5319474882444284E-2</v>
      </c>
      <c r="AG91" s="50">
        <v>-300</v>
      </c>
      <c r="AH91" s="50">
        <v>-7200</v>
      </c>
      <c r="AI91" s="50">
        <v>-1.5319474882444284E-2</v>
      </c>
      <c r="AJ91" s="50">
        <v>-600</v>
      </c>
      <c r="AK91" s="50">
        <v>76800</v>
      </c>
      <c r="AL91" s="50">
        <v>0.16340773207940595</v>
      </c>
      <c r="AM91" s="50">
        <v>76800</v>
      </c>
      <c r="AN91" s="50">
        <v>0.16340773207940595</v>
      </c>
      <c r="AO91" s="50">
        <v>6400</v>
      </c>
      <c r="AP91" s="50">
        <v>0</v>
      </c>
      <c r="AQ91" s="50">
        <v>0</v>
      </c>
      <c r="AR91" s="50">
        <v>0</v>
      </c>
      <c r="AT91" s="50">
        <v>239990</v>
      </c>
      <c r="AU91" s="50">
        <v>19100</v>
      </c>
      <c r="AV91" s="50">
        <v>583790</v>
      </c>
      <c r="AW91" s="50">
        <v>239990</v>
      </c>
      <c r="AX91" s="50">
        <v>19100</v>
      </c>
      <c r="AY91" s="50">
        <v>583790</v>
      </c>
      <c r="AZ91" s="50">
        <v>239990</v>
      </c>
      <c r="BA91" s="50">
        <v>19100</v>
      </c>
      <c r="BB91" s="50">
        <v>583790</v>
      </c>
      <c r="BC91" s="50">
        <v>396000</v>
      </c>
      <c r="BD91" s="50">
        <v>-0.15742888146556311</v>
      </c>
      <c r="BE91" s="50">
        <v>16500</v>
      </c>
      <c r="BF91" s="50">
        <v>396000</v>
      </c>
      <c r="BG91" s="50">
        <v>-0.15742888146556311</v>
      </c>
      <c r="BH91" s="50">
        <v>16500</v>
      </c>
      <c r="BI91" s="50">
        <v>396000</v>
      </c>
      <c r="BJ91" s="50">
        <v>-0.15742888146556311</v>
      </c>
      <c r="BK91" s="50">
        <v>33000</v>
      </c>
      <c r="BL91" s="50">
        <v>432000</v>
      </c>
      <c r="BM91" s="50">
        <v>-8.0831507053341564E-2</v>
      </c>
      <c r="BN91" s="50">
        <v>432000</v>
      </c>
      <c r="BO91" s="50">
        <v>-8.0831507053341564E-2</v>
      </c>
      <c r="BP91" s="50">
        <v>36000</v>
      </c>
      <c r="BQ91" s="50">
        <v>469990</v>
      </c>
      <c r="BR91" s="50" t="s">
        <v>745</v>
      </c>
      <c r="BS91" s="50" t="s">
        <v>746</v>
      </c>
    </row>
    <row r="92" spans="1:71" ht="15.75" customHeight="1" x14ac:dyDescent="0.2">
      <c r="A92" s="25" t="s">
        <v>584</v>
      </c>
      <c r="B92" s="26" t="s">
        <v>585</v>
      </c>
      <c r="C92" s="27" t="s">
        <v>401</v>
      </c>
      <c r="D92" s="50">
        <v>388800</v>
      </c>
      <c r="E92" s="30">
        <f>+(D92-$P92)/$P92</f>
        <v>-0.17274835634800739</v>
      </c>
      <c r="F92" s="50">
        <f t="shared" si="10"/>
        <v>16200</v>
      </c>
      <c r="G92" s="50">
        <v>388800</v>
      </c>
      <c r="H92" s="30">
        <f>+(G92-$P92)/$P92</f>
        <v>-0.17274835634800739</v>
      </c>
      <c r="I92" s="50">
        <f t="shared" si="11"/>
        <v>16200</v>
      </c>
      <c r="J92" s="50">
        <v>388800</v>
      </c>
      <c r="K92" s="30">
        <f>+(J92-$P92)/$P92</f>
        <v>-0.17274835634800739</v>
      </c>
      <c r="L92" s="50">
        <f t="shared" si="12"/>
        <v>32400</v>
      </c>
      <c r="M92" s="50">
        <v>508800</v>
      </c>
      <c r="N92" s="30">
        <f t="shared" si="13"/>
        <v>8.257622502606439E-2</v>
      </c>
      <c r="O92" s="50">
        <f t="shared" si="14"/>
        <v>42400</v>
      </c>
      <c r="P92" s="50">
        <v>469990</v>
      </c>
      <c r="Q92" t="s">
        <v>785</v>
      </c>
      <c r="R92" t="e">
        <f>VLOOKUP(B92,#REF!,1,0)</f>
        <v>#REF!</v>
      </c>
      <c r="S92" s="50">
        <v>-54000</v>
      </c>
      <c r="T92" s="50">
        <v>3100</v>
      </c>
      <c r="U92" s="50">
        <v>1800</v>
      </c>
      <c r="V92" s="50">
        <v>-54000</v>
      </c>
      <c r="W92" s="50">
        <v>3100</v>
      </c>
      <c r="X92" s="50">
        <v>1800</v>
      </c>
      <c r="Y92" s="50">
        <v>-54000</v>
      </c>
      <c r="Z92" s="50">
        <v>3100</v>
      </c>
      <c r="AA92" s="50">
        <v>1800</v>
      </c>
      <c r="AB92" s="50">
        <v>-7200</v>
      </c>
      <c r="AC92" s="50">
        <v>-1.5319474882444284E-2</v>
      </c>
      <c r="AD92" s="50">
        <v>-300</v>
      </c>
      <c r="AE92" s="50">
        <v>-7200</v>
      </c>
      <c r="AF92" s="50">
        <v>-1.5319474882444284E-2</v>
      </c>
      <c r="AG92" s="50">
        <v>-300</v>
      </c>
      <c r="AH92" s="50">
        <v>-7200</v>
      </c>
      <c r="AI92" s="50">
        <v>-1.5319474882444284E-2</v>
      </c>
      <c r="AJ92" s="50">
        <v>-600</v>
      </c>
      <c r="AK92" s="50">
        <v>76800</v>
      </c>
      <c r="AL92" s="50">
        <v>0.16340773207940595</v>
      </c>
      <c r="AM92" s="50">
        <v>76800</v>
      </c>
      <c r="AN92" s="50">
        <v>0.16340773207940595</v>
      </c>
      <c r="AO92" s="50">
        <v>6400</v>
      </c>
      <c r="AP92" s="50">
        <v>0</v>
      </c>
      <c r="AQ92" s="50">
        <v>0</v>
      </c>
      <c r="AR92" s="50">
        <v>0</v>
      </c>
      <c r="AT92" s="50">
        <v>239990</v>
      </c>
      <c r="AU92" s="50">
        <v>19100</v>
      </c>
      <c r="AV92" s="50">
        <v>583790</v>
      </c>
      <c r="AW92" s="50">
        <v>239990</v>
      </c>
      <c r="AX92" s="50">
        <v>19100</v>
      </c>
      <c r="AY92" s="50">
        <v>583790</v>
      </c>
      <c r="AZ92" s="50">
        <v>239990</v>
      </c>
      <c r="BA92" s="50">
        <v>19100</v>
      </c>
      <c r="BB92" s="50">
        <v>583790</v>
      </c>
      <c r="BC92" s="50">
        <v>396000</v>
      </c>
      <c r="BD92" s="50">
        <v>-0.15742888146556311</v>
      </c>
      <c r="BE92" s="50">
        <v>16500</v>
      </c>
      <c r="BF92" s="50">
        <v>396000</v>
      </c>
      <c r="BG92" s="50">
        <v>-0.15742888146556311</v>
      </c>
      <c r="BH92" s="50">
        <v>16500</v>
      </c>
      <c r="BI92" s="50">
        <v>396000</v>
      </c>
      <c r="BJ92" s="50">
        <v>-0.15742888146556311</v>
      </c>
      <c r="BK92" s="50">
        <v>33000</v>
      </c>
      <c r="BL92" s="50">
        <v>432000</v>
      </c>
      <c r="BM92" s="50">
        <v>-8.0831507053341564E-2</v>
      </c>
      <c r="BN92" s="50">
        <v>432000</v>
      </c>
      <c r="BO92" s="50">
        <v>-8.0831507053341564E-2</v>
      </c>
      <c r="BP92" s="50">
        <v>36000</v>
      </c>
      <c r="BQ92" s="50">
        <v>469990</v>
      </c>
      <c r="BR92" s="50" t="s">
        <v>745</v>
      </c>
      <c r="BS92" s="50" t="s">
        <v>746</v>
      </c>
    </row>
    <row r="93" spans="1:71" ht="15.75" customHeight="1" x14ac:dyDescent="0.2">
      <c r="A93" s="25" t="s">
        <v>586</v>
      </c>
      <c r="B93" s="26" t="s">
        <v>587</v>
      </c>
      <c r="C93" s="27" t="s">
        <v>401</v>
      </c>
      <c r="D93" s="50">
        <v>388800</v>
      </c>
      <c r="E93" s="30">
        <f>+(D93-$P93)/$P93</f>
        <v>-0.17274835634800739</v>
      </c>
      <c r="F93" s="50">
        <f t="shared" si="10"/>
        <v>16200</v>
      </c>
      <c r="G93" s="50">
        <v>388800</v>
      </c>
      <c r="H93" s="30">
        <f>+(G93-$P93)/$P93</f>
        <v>-0.17274835634800739</v>
      </c>
      <c r="I93" s="50">
        <f t="shared" si="11"/>
        <v>16200</v>
      </c>
      <c r="J93" s="50">
        <v>388800</v>
      </c>
      <c r="K93" s="30">
        <f>+(J93-$P93)/$P93</f>
        <v>-0.17274835634800739</v>
      </c>
      <c r="L93" s="50">
        <f t="shared" si="12"/>
        <v>32400</v>
      </c>
      <c r="M93" s="50">
        <v>508800</v>
      </c>
      <c r="N93" s="30">
        <f t="shared" si="13"/>
        <v>8.257622502606439E-2</v>
      </c>
      <c r="O93" s="50">
        <f t="shared" si="14"/>
        <v>42400</v>
      </c>
      <c r="P93" s="50">
        <v>469990</v>
      </c>
      <c r="Q93" t="s">
        <v>785</v>
      </c>
      <c r="R93" t="e">
        <f>VLOOKUP(B93,#REF!,1,0)</f>
        <v>#REF!</v>
      </c>
      <c r="S93" s="50">
        <v>-54000</v>
      </c>
      <c r="T93" s="50">
        <v>3100</v>
      </c>
      <c r="U93" s="50">
        <v>1800</v>
      </c>
      <c r="V93" s="50">
        <v>-54000</v>
      </c>
      <c r="W93" s="50">
        <v>3100</v>
      </c>
      <c r="X93" s="50">
        <v>1800</v>
      </c>
      <c r="Y93" s="50">
        <v>-54000</v>
      </c>
      <c r="Z93" s="50">
        <v>3100</v>
      </c>
      <c r="AA93" s="50">
        <v>1800</v>
      </c>
      <c r="AB93" s="50">
        <v>-7200</v>
      </c>
      <c r="AC93" s="50">
        <v>-1.5319474882444284E-2</v>
      </c>
      <c r="AD93" s="50">
        <v>-300</v>
      </c>
      <c r="AE93" s="50">
        <v>-7200</v>
      </c>
      <c r="AF93" s="50">
        <v>-1.5319474882444284E-2</v>
      </c>
      <c r="AG93" s="50">
        <v>-300</v>
      </c>
      <c r="AH93" s="50">
        <v>-7200</v>
      </c>
      <c r="AI93" s="50">
        <v>-1.5319474882444284E-2</v>
      </c>
      <c r="AJ93" s="50">
        <v>-600</v>
      </c>
      <c r="AK93" s="50">
        <v>76800</v>
      </c>
      <c r="AL93" s="50">
        <v>0.16340773207940595</v>
      </c>
      <c r="AM93" s="50">
        <v>76800</v>
      </c>
      <c r="AN93" s="50">
        <v>0.16340773207940595</v>
      </c>
      <c r="AO93" s="50">
        <v>6400</v>
      </c>
      <c r="AP93" s="50">
        <v>0</v>
      </c>
      <c r="AQ93" s="50">
        <v>0</v>
      </c>
      <c r="AR93" s="50">
        <v>0</v>
      </c>
      <c r="AT93" s="50">
        <v>239990</v>
      </c>
      <c r="AU93" s="50">
        <v>19100</v>
      </c>
      <c r="AV93" s="50">
        <v>583790</v>
      </c>
      <c r="AW93" s="50">
        <v>239990</v>
      </c>
      <c r="AX93" s="50">
        <v>19100</v>
      </c>
      <c r="AY93" s="50">
        <v>583790</v>
      </c>
      <c r="AZ93" s="50">
        <v>239990</v>
      </c>
      <c r="BA93" s="50">
        <v>19100</v>
      </c>
      <c r="BB93" s="50">
        <v>583790</v>
      </c>
      <c r="BC93" s="50">
        <v>396000</v>
      </c>
      <c r="BD93" s="50">
        <v>-0.15742888146556311</v>
      </c>
      <c r="BE93" s="50">
        <v>16500</v>
      </c>
      <c r="BF93" s="50">
        <v>396000</v>
      </c>
      <c r="BG93" s="50">
        <v>-0.15742888146556311</v>
      </c>
      <c r="BH93" s="50">
        <v>16500</v>
      </c>
      <c r="BI93" s="50">
        <v>396000</v>
      </c>
      <c r="BJ93" s="50">
        <v>-0.15742888146556311</v>
      </c>
      <c r="BK93" s="50">
        <v>33000</v>
      </c>
      <c r="BL93" s="50">
        <v>432000</v>
      </c>
      <c r="BM93" s="50">
        <v>-8.0831507053341564E-2</v>
      </c>
      <c r="BN93" s="50">
        <v>432000</v>
      </c>
      <c r="BO93" s="50">
        <v>-8.0831507053341564E-2</v>
      </c>
      <c r="BP93" s="50">
        <v>36000</v>
      </c>
      <c r="BQ93" s="50">
        <v>469990</v>
      </c>
      <c r="BR93" s="50" t="s">
        <v>745</v>
      </c>
      <c r="BS93" s="50" t="s">
        <v>746</v>
      </c>
    </row>
    <row r="94" spans="1:71" ht="15.75" customHeight="1" x14ac:dyDescent="0.2">
      <c r="A94" s="25" t="s">
        <v>588</v>
      </c>
      <c r="B94" s="26" t="s">
        <v>589</v>
      </c>
      <c r="C94" s="27" t="s">
        <v>401</v>
      </c>
      <c r="D94" s="50">
        <v>388800</v>
      </c>
      <c r="E94" s="30">
        <f>+(D94-$P94)/$P94</f>
        <v>-0.17274835634800739</v>
      </c>
      <c r="F94" s="50">
        <f t="shared" si="10"/>
        <v>16200</v>
      </c>
      <c r="G94" s="50">
        <v>388800</v>
      </c>
      <c r="H94" s="30">
        <f>+(G94-$P94)/$P94</f>
        <v>-0.17274835634800739</v>
      </c>
      <c r="I94" s="50">
        <f t="shared" si="11"/>
        <v>16200</v>
      </c>
      <c r="J94" s="50">
        <v>388800</v>
      </c>
      <c r="K94" s="30">
        <f>+(J94-$P94)/$P94</f>
        <v>-0.17274835634800739</v>
      </c>
      <c r="L94" s="50">
        <f t="shared" si="12"/>
        <v>32400</v>
      </c>
      <c r="M94" s="50">
        <v>508800</v>
      </c>
      <c r="N94" s="30">
        <f t="shared" si="13"/>
        <v>8.257622502606439E-2</v>
      </c>
      <c r="O94" s="50">
        <f t="shared" si="14"/>
        <v>42400</v>
      </c>
      <c r="P94" s="50">
        <v>469990</v>
      </c>
      <c r="Q94" t="s">
        <v>785</v>
      </c>
      <c r="R94" t="e">
        <f>VLOOKUP(B94,#REF!,1,0)</f>
        <v>#REF!</v>
      </c>
      <c r="S94" s="50">
        <v>-54000</v>
      </c>
      <c r="T94" s="50">
        <v>3100</v>
      </c>
      <c r="U94" s="50">
        <v>1800</v>
      </c>
      <c r="V94" s="50">
        <v>-54000</v>
      </c>
      <c r="W94" s="50">
        <v>3100</v>
      </c>
      <c r="X94" s="50">
        <v>1800</v>
      </c>
      <c r="Y94" s="50">
        <v>-54000</v>
      </c>
      <c r="Z94" s="50">
        <v>3100</v>
      </c>
      <c r="AA94" s="50">
        <v>1800</v>
      </c>
      <c r="AB94" s="50">
        <v>-7200</v>
      </c>
      <c r="AC94" s="50">
        <v>-1.5319474882444284E-2</v>
      </c>
      <c r="AD94" s="50">
        <v>-300</v>
      </c>
      <c r="AE94" s="50">
        <v>-7200</v>
      </c>
      <c r="AF94" s="50">
        <v>-1.5319474882444284E-2</v>
      </c>
      <c r="AG94" s="50">
        <v>-300</v>
      </c>
      <c r="AH94" s="50">
        <v>-7200</v>
      </c>
      <c r="AI94" s="50">
        <v>-1.5319474882444284E-2</v>
      </c>
      <c r="AJ94" s="50">
        <v>-600</v>
      </c>
      <c r="AK94" s="50">
        <v>76800</v>
      </c>
      <c r="AL94" s="50">
        <v>0.16340773207940595</v>
      </c>
      <c r="AM94" s="50">
        <v>76800</v>
      </c>
      <c r="AN94" s="50">
        <v>0.16340773207940595</v>
      </c>
      <c r="AO94" s="50">
        <v>6400</v>
      </c>
      <c r="AP94" s="50">
        <v>0</v>
      </c>
      <c r="AQ94" s="50">
        <v>0</v>
      </c>
      <c r="AR94" s="50">
        <v>0</v>
      </c>
      <c r="AT94" s="50">
        <v>239990</v>
      </c>
      <c r="AU94" s="50">
        <v>19100</v>
      </c>
      <c r="AV94" s="50">
        <v>583790</v>
      </c>
      <c r="AW94" s="50">
        <v>239990</v>
      </c>
      <c r="AX94" s="50">
        <v>19100</v>
      </c>
      <c r="AY94" s="50">
        <v>583790</v>
      </c>
      <c r="AZ94" s="50">
        <v>239990</v>
      </c>
      <c r="BA94" s="50">
        <v>19100</v>
      </c>
      <c r="BB94" s="50">
        <v>583790</v>
      </c>
      <c r="BC94" s="50">
        <v>396000</v>
      </c>
      <c r="BD94" s="50">
        <v>-0.15742888146556311</v>
      </c>
      <c r="BE94" s="50">
        <v>16500</v>
      </c>
      <c r="BF94" s="50">
        <v>396000</v>
      </c>
      <c r="BG94" s="50">
        <v>-0.15742888146556311</v>
      </c>
      <c r="BH94" s="50">
        <v>16500</v>
      </c>
      <c r="BI94" s="50">
        <v>396000</v>
      </c>
      <c r="BJ94" s="50">
        <v>-0.15742888146556311</v>
      </c>
      <c r="BK94" s="50">
        <v>33000</v>
      </c>
      <c r="BL94" s="50">
        <v>432000</v>
      </c>
      <c r="BM94" s="50">
        <v>-8.0831507053341564E-2</v>
      </c>
      <c r="BN94" s="50">
        <v>432000</v>
      </c>
      <c r="BO94" s="50">
        <v>-8.0831507053341564E-2</v>
      </c>
      <c r="BP94" s="50">
        <v>36000</v>
      </c>
      <c r="BQ94" s="50">
        <v>469990</v>
      </c>
      <c r="BR94" s="50" t="s">
        <v>745</v>
      </c>
      <c r="BS94" s="50" t="s">
        <v>746</v>
      </c>
    </row>
    <row r="95" spans="1:71" ht="15.75" customHeight="1" x14ac:dyDescent="0.2">
      <c r="A95" s="25" t="s">
        <v>590</v>
      </c>
      <c r="B95" s="26" t="s">
        <v>591</v>
      </c>
      <c r="C95" s="27" t="s">
        <v>44</v>
      </c>
      <c r="D95" s="50">
        <v>199200</v>
      </c>
      <c r="E95" s="30">
        <f>+(D95-$P95)/$P95</f>
        <v>-0.60159203184063681</v>
      </c>
      <c r="F95" s="50">
        <f t="shared" si="10"/>
        <v>8300</v>
      </c>
      <c r="G95" s="50">
        <v>199200</v>
      </c>
      <c r="H95" s="30">
        <f>+(G95-$P95)/$P95</f>
        <v>-0.60159203184063681</v>
      </c>
      <c r="I95" s="50">
        <f t="shared" si="11"/>
        <v>8300</v>
      </c>
      <c r="J95" s="50">
        <v>199200</v>
      </c>
      <c r="K95" s="30">
        <f>+(J95-$P95)/$P95</f>
        <v>-0.60159203184063681</v>
      </c>
      <c r="L95" s="50">
        <f t="shared" si="12"/>
        <v>16600</v>
      </c>
      <c r="M95" s="50">
        <v>276000</v>
      </c>
      <c r="N95" s="30">
        <f t="shared" si="13"/>
        <v>-0.44798895977919556</v>
      </c>
      <c r="O95" s="50">
        <f t="shared" si="14"/>
        <v>23000</v>
      </c>
      <c r="P95" s="50">
        <v>499990</v>
      </c>
      <c r="Q95" t="s">
        <v>822</v>
      </c>
      <c r="R95" t="e">
        <f>VLOOKUP(B95,#REF!,1,0)</f>
        <v>#REF!</v>
      </c>
      <c r="S95" s="50">
        <v>79990</v>
      </c>
      <c r="T95" s="50">
        <v>33800</v>
      </c>
      <c r="U95" s="50">
        <v>688390</v>
      </c>
      <c r="V95" s="50">
        <v>79990</v>
      </c>
      <c r="W95" s="50">
        <v>33800</v>
      </c>
      <c r="X95" s="50">
        <v>688390</v>
      </c>
      <c r="Y95" s="50">
        <v>79990</v>
      </c>
      <c r="Z95" s="50">
        <v>33800</v>
      </c>
      <c r="AA95" s="50">
        <v>688390</v>
      </c>
      <c r="AB95" s="50">
        <v>199200</v>
      </c>
      <c r="AC95" s="50">
        <v>-0.60159203184063681</v>
      </c>
      <c r="AD95" s="50">
        <v>8300</v>
      </c>
      <c r="AE95" s="50">
        <v>199200</v>
      </c>
      <c r="AF95" s="50">
        <v>-0.60159203184063681</v>
      </c>
      <c r="AG95" s="50">
        <v>8300</v>
      </c>
      <c r="AH95" s="50">
        <v>199200</v>
      </c>
      <c r="AI95" s="50">
        <v>-0.60159203184063681</v>
      </c>
      <c r="AJ95" s="50">
        <v>16600</v>
      </c>
      <c r="AK95" s="50">
        <v>276000</v>
      </c>
      <c r="AL95" s="50">
        <v>-0.44798895977919556</v>
      </c>
      <c r="AM95" s="50">
        <v>276000</v>
      </c>
      <c r="AN95" s="50">
        <v>-0.44798895977919556</v>
      </c>
      <c r="AO95" s="50">
        <v>23000</v>
      </c>
      <c r="AP95" s="50">
        <v>499990</v>
      </c>
      <c r="AQ95" s="50">
        <v>6000</v>
      </c>
      <c r="AR95" s="50">
        <v>10000</v>
      </c>
      <c r="AT95" s="50">
        <v>209990</v>
      </c>
      <c r="AU95" s="50">
        <v>24000</v>
      </c>
      <c r="AV95" s="50">
        <v>641990</v>
      </c>
      <c r="AW95" s="50">
        <v>209990</v>
      </c>
      <c r="AX95" s="50">
        <v>24000</v>
      </c>
      <c r="AY95" s="50">
        <v>641990</v>
      </c>
      <c r="AZ95" s="50">
        <v>209990</v>
      </c>
      <c r="BA95" s="50">
        <v>24000</v>
      </c>
      <c r="BB95" s="50">
        <v>641990</v>
      </c>
      <c r="BC95" s="50">
        <v>240000</v>
      </c>
      <c r="BD95" s="50">
        <v>-0.51999039980799611</v>
      </c>
      <c r="BE95" s="50">
        <v>10000</v>
      </c>
      <c r="BF95" s="50">
        <v>240000</v>
      </c>
      <c r="BG95" s="50">
        <v>-0.51999039980799611</v>
      </c>
      <c r="BH95" s="50">
        <v>10000</v>
      </c>
      <c r="BI95" s="50">
        <v>240000</v>
      </c>
      <c r="BJ95" s="50">
        <v>-0.51999039980799611</v>
      </c>
      <c r="BK95" s="50">
        <v>20000</v>
      </c>
      <c r="BL95" s="50">
        <v>276000</v>
      </c>
      <c r="BM95" s="50">
        <v>-0.44798895977919556</v>
      </c>
      <c r="BN95" s="50">
        <v>276000</v>
      </c>
      <c r="BO95" s="50">
        <v>-0.44798895977919556</v>
      </c>
      <c r="BP95" s="50">
        <v>23000</v>
      </c>
      <c r="BQ95" s="50">
        <v>499990</v>
      </c>
      <c r="BR95" s="50" t="s">
        <v>745</v>
      </c>
      <c r="BS95" s="50" t="s">
        <v>746</v>
      </c>
    </row>
    <row r="96" spans="1:71" ht="15.75" customHeight="1" x14ac:dyDescent="0.2">
      <c r="A96" s="25" t="s">
        <v>592</v>
      </c>
      <c r="B96" s="26" t="s">
        <v>593</v>
      </c>
      <c r="C96" s="27" t="s">
        <v>44</v>
      </c>
      <c r="D96" s="50">
        <v>199200</v>
      </c>
      <c r="E96" s="30">
        <f>+(D96-$P96)/$P96</f>
        <v>-0.60159203184063681</v>
      </c>
      <c r="F96" s="50">
        <f t="shared" si="10"/>
        <v>8300</v>
      </c>
      <c r="G96" s="50">
        <v>199200</v>
      </c>
      <c r="H96" s="30">
        <f>+(G96-$P96)/$P96</f>
        <v>-0.60159203184063681</v>
      </c>
      <c r="I96" s="50">
        <f t="shared" si="11"/>
        <v>8300</v>
      </c>
      <c r="J96" s="50">
        <v>199200</v>
      </c>
      <c r="K96" s="30">
        <f>+(J96-$P96)/$P96</f>
        <v>-0.60159203184063681</v>
      </c>
      <c r="L96" s="50">
        <f t="shared" si="12"/>
        <v>16600</v>
      </c>
      <c r="M96" s="50">
        <v>276000</v>
      </c>
      <c r="N96" s="30">
        <f t="shared" si="13"/>
        <v>-0.44798895977919556</v>
      </c>
      <c r="O96" s="50">
        <f t="shared" si="14"/>
        <v>23000</v>
      </c>
      <c r="P96" s="50">
        <v>499990</v>
      </c>
      <c r="Q96" t="s">
        <v>822</v>
      </c>
      <c r="R96" t="e">
        <f>VLOOKUP(B96,#REF!,1,0)</f>
        <v>#REF!</v>
      </c>
      <c r="S96" s="50">
        <v>79990</v>
      </c>
      <c r="T96" s="50">
        <v>33800</v>
      </c>
      <c r="U96" s="50">
        <v>688390</v>
      </c>
      <c r="V96" s="50">
        <v>79990</v>
      </c>
      <c r="W96" s="50">
        <v>33800</v>
      </c>
      <c r="X96" s="50">
        <v>688390</v>
      </c>
      <c r="Y96" s="50">
        <v>79990</v>
      </c>
      <c r="Z96" s="50">
        <v>33800</v>
      </c>
      <c r="AA96" s="50">
        <v>688390</v>
      </c>
      <c r="AB96" s="50">
        <v>199200</v>
      </c>
      <c r="AC96" s="50">
        <v>-0.60159203184063681</v>
      </c>
      <c r="AD96" s="50">
        <v>8300</v>
      </c>
      <c r="AE96" s="50">
        <v>199200</v>
      </c>
      <c r="AF96" s="50">
        <v>-0.60159203184063681</v>
      </c>
      <c r="AG96" s="50">
        <v>8300</v>
      </c>
      <c r="AH96" s="50">
        <v>199200</v>
      </c>
      <c r="AI96" s="50">
        <v>-0.60159203184063681</v>
      </c>
      <c r="AJ96" s="50">
        <v>16600</v>
      </c>
      <c r="AK96" s="50">
        <v>276000</v>
      </c>
      <c r="AL96" s="50">
        <v>-0.44798895977919556</v>
      </c>
      <c r="AM96" s="50">
        <v>276000</v>
      </c>
      <c r="AN96" s="50">
        <v>-0.44798895977919556</v>
      </c>
      <c r="AO96" s="50">
        <v>23000</v>
      </c>
      <c r="AP96" s="50">
        <v>499990</v>
      </c>
      <c r="AQ96" s="50">
        <v>6000</v>
      </c>
      <c r="AR96" s="50">
        <v>10000</v>
      </c>
      <c r="AT96" s="50">
        <v>209990</v>
      </c>
      <c r="AU96" s="50">
        <v>24000</v>
      </c>
      <c r="AV96" s="50">
        <v>641990</v>
      </c>
      <c r="AW96" s="50">
        <v>209990</v>
      </c>
      <c r="AX96" s="50">
        <v>24000</v>
      </c>
      <c r="AY96" s="50">
        <v>641990</v>
      </c>
      <c r="AZ96" s="50">
        <v>209990</v>
      </c>
      <c r="BA96" s="50">
        <v>24000</v>
      </c>
      <c r="BB96" s="50">
        <v>641990</v>
      </c>
      <c r="BC96" s="50">
        <v>240000</v>
      </c>
      <c r="BD96" s="50">
        <v>-0.51999039980799611</v>
      </c>
      <c r="BE96" s="50">
        <v>10000</v>
      </c>
      <c r="BF96" s="50">
        <v>240000</v>
      </c>
      <c r="BG96" s="50">
        <v>-0.51999039980799611</v>
      </c>
      <c r="BH96" s="50">
        <v>10000</v>
      </c>
      <c r="BI96" s="50">
        <v>240000</v>
      </c>
      <c r="BJ96" s="50">
        <v>-0.51999039980799611</v>
      </c>
      <c r="BK96" s="50">
        <v>20000</v>
      </c>
      <c r="BL96" s="50">
        <v>276000</v>
      </c>
      <c r="BM96" s="50">
        <v>-0.44798895977919556</v>
      </c>
      <c r="BN96" s="50">
        <v>276000</v>
      </c>
      <c r="BO96" s="50">
        <v>-0.44798895977919556</v>
      </c>
      <c r="BP96" s="50">
        <v>23000</v>
      </c>
      <c r="BQ96" s="50">
        <v>499990</v>
      </c>
      <c r="BR96" s="50" t="s">
        <v>745</v>
      </c>
      <c r="BS96" s="50" t="s">
        <v>746</v>
      </c>
    </row>
    <row r="97" spans="1:71" ht="15.75" customHeight="1" x14ac:dyDescent="0.2">
      <c r="A97" s="25" t="s">
        <v>594</v>
      </c>
      <c r="B97" s="26" t="s">
        <v>595</v>
      </c>
      <c r="C97" s="27" t="s">
        <v>44</v>
      </c>
      <c r="D97" s="50">
        <v>199200</v>
      </c>
      <c r="E97" s="30">
        <f>+(D97-$P97)/$P97</f>
        <v>-0.60159203184063681</v>
      </c>
      <c r="F97" s="50">
        <f t="shared" si="10"/>
        <v>8300</v>
      </c>
      <c r="G97" s="50">
        <v>199200</v>
      </c>
      <c r="H97" s="30">
        <f>+(G97-$P97)/$P97</f>
        <v>-0.60159203184063681</v>
      </c>
      <c r="I97" s="50">
        <f t="shared" si="11"/>
        <v>8300</v>
      </c>
      <c r="J97" s="50">
        <v>199200</v>
      </c>
      <c r="K97" s="30">
        <f>+(J97-$P97)/$P97</f>
        <v>-0.60159203184063681</v>
      </c>
      <c r="L97" s="50">
        <f t="shared" si="12"/>
        <v>16600</v>
      </c>
      <c r="M97" s="50">
        <v>276000</v>
      </c>
      <c r="N97" s="30">
        <f t="shared" si="13"/>
        <v>-0.44798895977919556</v>
      </c>
      <c r="O97" s="50">
        <f t="shared" si="14"/>
        <v>23000</v>
      </c>
      <c r="P97" s="50">
        <v>499990</v>
      </c>
      <c r="Q97" t="s">
        <v>822</v>
      </c>
      <c r="R97" t="e">
        <f>VLOOKUP(B97,#REF!,1,0)</f>
        <v>#REF!</v>
      </c>
      <c r="S97" s="50">
        <v>79990</v>
      </c>
      <c r="T97" s="50">
        <v>33800</v>
      </c>
      <c r="U97" s="50">
        <v>688390</v>
      </c>
      <c r="V97" s="50">
        <v>79990</v>
      </c>
      <c r="W97" s="50">
        <v>33800</v>
      </c>
      <c r="X97" s="50">
        <v>688390</v>
      </c>
      <c r="Y97" s="50">
        <v>79990</v>
      </c>
      <c r="Z97" s="50">
        <v>33800</v>
      </c>
      <c r="AA97" s="50">
        <v>688390</v>
      </c>
      <c r="AB97" s="50">
        <v>199200</v>
      </c>
      <c r="AC97" s="50">
        <v>-0.60159203184063681</v>
      </c>
      <c r="AD97" s="50">
        <v>8300</v>
      </c>
      <c r="AE97" s="50">
        <v>199200</v>
      </c>
      <c r="AF97" s="50">
        <v>-0.60159203184063681</v>
      </c>
      <c r="AG97" s="50">
        <v>8300</v>
      </c>
      <c r="AH97" s="50">
        <v>199200</v>
      </c>
      <c r="AI97" s="50">
        <v>-0.60159203184063681</v>
      </c>
      <c r="AJ97" s="50">
        <v>16600</v>
      </c>
      <c r="AK97" s="50">
        <v>276000</v>
      </c>
      <c r="AL97" s="50">
        <v>-0.44798895977919556</v>
      </c>
      <c r="AM97" s="50">
        <v>276000</v>
      </c>
      <c r="AN97" s="50">
        <v>-0.44798895977919556</v>
      </c>
      <c r="AO97" s="50">
        <v>23000</v>
      </c>
      <c r="AP97" s="50">
        <v>499990</v>
      </c>
      <c r="AQ97" s="50">
        <v>6000</v>
      </c>
      <c r="AR97" s="50">
        <v>10000</v>
      </c>
      <c r="AT97" s="50">
        <v>209990</v>
      </c>
      <c r="AU97" s="50">
        <v>24000</v>
      </c>
      <c r="AV97" s="50">
        <v>641990</v>
      </c>
      <c r="AW97" s="50">
        <v>209990</v>
      </c>
      <c r="AX97" s="50">
        <v>24000</v>
      </c>
      <c r="AY97" s="50">
        <v>641990</v>
      </c>
      <c r="AZ97" s="50">
        <v>209990</v>
      </c>
      <c r="BA97" s="50">
        <v>24000</v>
      </c>
      <c r="BB97" s="50">
        <v>641990</v>
      </c>
      <c r="BC97" s="50">
        <v>240000</v>
      </c>
      <c r="BD97" s="50">
        <v>-0.51999039980799611</v>
      </c>
      <c r="BE97" s="50">
        <v>10000</v>
      </c>
      <c r="BF97" s="50">
        <v>240000</v>
      </c>
      <c r="BG97" s="50">
        <v>-0.51999039980799611</v>
      </c>
      <c r="BH97" s="50">
        <v>10000</v>
      </c>
      <c r="BI97" s="50">
        <v>240000</v>
      </c>
      <c r="BJ97" s="50">
        <v>-0.51999039980799611</v>
      </c>
      <c r="BK97" s="50">
        <v>20000</v>
      </c>
      <c r="BL97" s="50">
        <v>276000</v>
      </c>
      <c r="BM97" s="50">
        <v>-0.44798895977919556</v>
      </c>
      <c r="BN97" s="50">
        <v>276000</v>
      </c>
      <c r="BO97" s="50">
        <v>-0.44798895977919556</v>
      </c>
      <c r="BP97" s="50">
        <v>23000</v>
      </c>
      <c r="BQ97" s="50">
        <v>499990</v>
      </c>
      <c r="BR97" s="50" t="s">
        <v>745</v>
      </c>
      <c r="BS97" s="50" t="s">
        <v>746</v>
      </c>
    </row>
    <row r="98" spans="1:71" ht="15.75" customHeight="1" x14ac:dyDescent="0.2">
      <c r="A98" s="25" t="s">
        <v>596</v>
      </c>
      <c r="B98" s="26" t="s">
        <v>597</v>
      </c>
      <c r="C98" s="27" t="s">
        <v>401</v>
      </c>
      <c r="D98" s="50">
        <v>350400</v>
      </c>
      <c r="E98" s="30">
        <f>+(D98-$P98)/$P98</f>
        <v>-0.33885545010283213</v>
      </c>
      <c r="F98" s="50">
        <f t="shared" si="10"/>
        <v>14600</v>
      </c>
      <c r="G98" s="50">
        <v>350400</v>
      </c>
      <c r="H98" s="30">
        <f>+(G98-$P98)/$P98</f>
        <v>-0.33885545010283213</v>
      </c>
      <c r="I98" s="50">
        <f t="shared" si="11"/>
        <v>14600</v>
      </c>
      <c r="J98" s="50">
        <v>350400</v>
      </c>
      <c r="K98" s="30">
        <f>+(J98-$P98)/$P98</f>
        <v>-0.33885545010283213</v>
      </c>
      <c r="L98" s="50">
        <f t="shared" si="12"/>
        <v>29200</v>
      </c>
      <c r="M98" s="50">
        <v>385200</v>
      </c>
      <c r="N98" s="30">
        <f t="shared" si="13"/>
        <v>-0.27319383384592161</v>
      </c>
      <c r="O98" s="50">
        <f t="shared" si="14"/>
        <v>32100</v>
      </c>
      <c r="P98" s="50">
        <v>529990</v>
      </c>
      <c r="Q98" t="s">
        <v>819</v>
      </c>
      <c r="R98" t="e">
        <f>VLOOKUP(B98,#REF!,1,0)</f>
        <v>#REF!</v>
      </c>
      <c r="S98" s="50">
        <v>-91000</v>
      </c>
      <c r="T98" s="50">
        <v>5100</v>
      </c>
      <c r="U98" s="50">
        <v>800</v>
      </c>
      <c r="V98" s="50">
        <v>-91000</v>
      </c>
      <c r="W98" s="50">
        <v>5100</v>
      </c>
      <c r="X98" s="50">
        <v>800</v>
      </c>
      <c r="Y98" s="50">
        <v>-91000</v>
      </c>
      <c r="Z98" s="50">
        <v>5100</v>
      </c>
      <c r="AA98" s="50">
        <v>800</v>
      </c>
      <c r="AB98" s="50">
        <v>0</v>
      </c>
      <c r="AC98" s="50">
        <v>0</v>
      </c>
      <c r="AD98" s="50">
        <v>0</v>
      </c>
      <c r="AE98" s="50">
        <v>0</v>
      </c>
      <c r="AF98" s="50">
        <v>0</v>
      </c>
      <c r="AG98" s="50">
        <v>0</v>
      </c>
      <c r="AH98" s="50">
        <v>0</v>
      </c>
      <c r="AI98" s="50">
        <v>0</v>
      </c>
      <c r="AJ98" s="50">
        <v>0</v>
      </c>
      <c r="AK98" s="50">
        <v>0</v>
      </c>
      <c r="AL98" s="50">
        <v>0</v>
      </c>
      <c r="AM98" s="50">
        <v>0</v>
      </c>
      <c r="AN98" s="50">
        <v>0</v>
      </c>
      <c r="AO98" s="50">
        <v>0</v>
      </c>
      <c r="AP98" s="50">
        <v>0</v>
      </c>
      <c r="AQ98" s="50">
        <v>0</v>
      </c>
      <c r="AR98" s="50">
        <v>0</v>
      </c>
      <c r="AT98" s="50">
        <v>229990</v>
      </c>
      <c r="AU98" s="50">
        <v>20500</v>
      </c>
      <c r="AV98" s="50">
        <v>598990</v>
      </c>
      <c r="AW98" s="50">
        <v>229990</v>
      </c>
      <c r="AX98" s="50">
        <v>20500</v>
      </c>
      <c r="AY98" s="50">
        <v>598990</v>
      </c>
      <c r="AZ98" s="50">
        <v>229990</v>
      </c>
      <c r="BA98" s="50">
        <v>20500</v>
      </c>
      <c r="BB98" s="50">
        <v>598990</v>
      </c>
      <c r="BC98" s="50">
        <v>350400</v>
      </c>
      <c r="BD98" s="50">
        <v>-0.33885545010283213</v>
      </c>
      <c r="BE98" s="50">
        <v>14600</v>
      </c>
      <c r="BF98" s="50">
        <v>350400</v>
      </c>
      <c r="BG98" s="50">
        <v>-0.33885545010283213</v>
      </c>
      <c r="BH98" s="50">
        <v>14600</v>
      </c>
      <c r="BI98" s="50">
        <v>350400</v>
      </c>
      <c r="BJ98" s="50">
        <v>-0.33885545010283213</v>
      </c>
      <c r="BK98" s="50">
        <v>29200</v>
      </c>
      <c r="BL98" s="50">
        <v>385200</v>
      </c>
      <c r="BM98" s="50">
        <v>-0.27319383384592161</v>
      </c>
      <c r="BN98" s="50">
        <v>385200</v>
      </c>
      <c r="BO98" s="50">
        <v>-0.27319383384592161</v>
      </c>
      <c r="BP98" s="50">
        <v>32100</v>
      </c>
      <c r="BQ98" s="50">
        <v>529990</v>
      </c>
      <c r="BR98" s="50" t="s">
        <v>745</v>
      </c>
      <c r="BS98" s="50" t="s">
        <v>746</v>
      </c>
    </row>
    <row r="99" spans="1:71" ht="15.75" customHeight="1" x14ac:dyDescent="0.2">
      <c r="A99" s="25" t="s">
        <v>598</v>
      </c>
      <c r="B99" s="26" t="s">
        <v>599</v>
      </c>
      <c r="C99" s="27" t="s">
        <v>401</v>
      </c>
      <c r="D99" s="50">
        <v>350400</v>
      </c>
      <c r="E99" s="30">
        <f>+(D99-$P99)/$P99</f>
        <v>-0.33885545010283213</v>
      </c>
      <c r="F99" s="50">
        <f t="shared" si="10"/>
        <v>14600</v>
      </c>
      <c r="G99" s="50">
        <v>350400</v>
      </c>
      <c r="H99" s="30">
        <f>+(G99-$P99)/$P99</f>
        <v>-0.33885545010283213</v>
      </c>
      <c r="I99" s="50">
        <f t="shared" si="11"/>
        <v>14600</v>
      </c>
      <c r="J99" s="50">
        <v>350400</v>
      </c>
      <c r="K99" s="30">
        <f>+(J99-$P99)/$P99</f>
        <v>-0.33885545010283213</v>
      </c>
      <c r="L99" s="50">
        <f t="shared" si="12"/>
        <v>29200</v>
      </c>
      <c r="M99" s="50">
        <v>385200</v>
      </c>
      <c r="N99" s="30">
        <f t="shared" si="13"/>
        <v>-0.27319383384592161</v>
      </c>
      <c r="O99" s="50">
        <f t="shared" si="14"/>
        <v>32100</v>
      </c>
      <c r="P99" s="50">
        <v>529990</v>
      </c>
      <c r="Q99" t="s">
        <v>819</v>
      </c>
      <c r="R99" t="e">
        <f>VLOOKUP(B99,#REF!,1,0)</f>
        <v>#REF!</v>
      </c>
      <c r="S99" s="50">
        <v>-91000</v>
      </c>
      <c r="T99" s="50">
        <v>5100</v>
      </c>
      <c r="U99" s="50">
        <v>800</v>
      </c>
      <c r="V99" s="50">
        <v>-91000</v>
      </c>
      <c r="W99" s="50">
        <v>5100</v>
      </c>
      <c r="X99" s="50">
        <v>800</v>
      </c>
      <c r="Y99" s="50">
        <v>-91000</v>
      </c>
      <c r="Z99" s="50">
        <v>5100</v>
      </c>
      <c r="AA99" s="50">
        <v>800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0</v>
      </c>
      <c r="AI99" s="50">
        <v>0</v>
      </c>
      <c r="AJ99" s="50">
        <v>0</v>
      </c>
      <c r="AK99" s="50">
        <v>0</v>
      </c>
      <c r="AL99" s="50">
        <v>0</v>
      </c>
      <c r="AM99" s="50">
        <v>0</v>
      </c>
      <c r="AN99" s="50">
        <v>0</v>
      </c>
      <c r="AO99" s="50">
        <v>0</v>
      </c>
      <c r="AP99" s="50">
        <v>0</v>
      </c>
      <c r="AQ99" s="50">
        <v>0</v>
      </c>
      <c r="AR99" s="50">
        <v>0</v>
      </c>
      <c r="AT99" s="50">
        <v>229990</v>
      </c>
      <c r="AU99" s="50">
        <v>20500</v>
      </c>
      <c r="AV99" s="50">
        <v>598990</v>
      </c>
      <c r="AW99" s="50">
        <v>229990</v>
      </c>
      <c r="AX99" s="50">
        <v>20500</v>
      </c>
      <c r="AY99" s="50">
        <v>598990</v>
      </c>
      <c r="AZ99" s="50">
        <v>229990</v>
      </c>
      <c r="BA99" s="50">
        <v>20500</v>
      </c>
      <c r="BB99" s="50">
        <v>598990</v>
      </c>
      <c r="BC99" s="50">
        <v>350400</v>
      </c>
      <c r="BD99" s="50">
        <v>-0.33885545010283213</v>
      </c>
      <c r="BE99" s="50">
        <v>14600</v>
      </c>
      <c r="BF99" s="50">
        <v>350400</v>
      </c>
      <c r="BG99" s="50">
        <v>-0.33885545010283213</v>
      </c>
      <c r="BH99" s="50">
        <v>14600</v>
      </c>
      <c r="BI99" s="50">
        <v>350400</v>
      </c>
      <c r="BJ99" s="50">
        <v>-0.33885545010283213</v>
      </c>
      <c r="BK99" s="50">
        <v>29200</v>
      </c>
      <c r="BL99" s="50">
        <v>385200</v>
      </c>
      <c r="BM99" s="50">
        <v>-0.27319383384592161</v>
      </c>
      <c r="BN99" s="50">
        <v>385200</v>
      </c>
      <c r="BO99" s="50">
        <v>-0.27319383384592161</v>
      </c>
      <c r="BP99" s="50">
        <v>32100</v>
      </c>
      <c r="BQ99" s="50">
        <v>529990</v>
      </c>
      <c r="BR99" s="50" t="s">
        <v>745</v>
      </c>
      <c r="BS99" s="50" t="s">
        <v>746</v>
      </c>
    </row>
    <row r="100" spans="1:71" ht="15.75" customHeight="1" x14ac:dyDescent="0.2">
      <c r="A100" s="25" t="s">
        <v>600</v>
      </c>
      <c r="B100" s="26" t="s">
        <v>601</v>
      </c>
      <c r="C100" s="27" t="s">
        <v>401</v>
      </c>
      <c r="D100" s="50">
        <v>472800</v>
      </c>
      <c r="E100" s="30">
        <f>+(D100-$P100)/$P100</f>
        <v>-0.14034800632738778</v>
      </c>
      <c r="F100" s="50">
        <f t="shared" si="10"/>
        <v>19700</v>
      </c>
      <c r="G100" s="50">
        <v>472800</v>
      </c>
      <c r="H100" s="30">
        <f>+(G100-$P100)/$P100</f>
        <v>-0.14034800632738778</v>
      </c>
      <c r="I100" s="50">
        <f t="shared" si="11"/>
        <v>19700</v>
      </c>
      <c r="J100" s="50">
        <v>520800</v>
      </c>
      <c r="K100" s="30">
        <f>+(J100-$P100)/$P100</f>
        <v>-5.3073692248949984E-2</v>
      </c>
      <c r="L100" s="50">
        <f t="shared" si="12"/>
        <v>43400</v>
      </c>
      <c r="M100" s="50">
        <v>520800</v>
      </c>
      <c r="N100" s="30">
        <f t="shared" si="13"/>
        <v>-5.3073692248949984E-2</v>
      </c>
      <c r="O100" s="50">
        <f t="shared" si="14"/>
        <v>43400</v>
      </c>
      <c r="P100" s="50">
        <v>549990</v>
      </c>
      <c r="Q100" t="s">
        <v>786</v>
      </c>
      <c r="R100" t="e">
        <f>VLOOKUP(B100,#REF!,1,0)</f>
        <v>#REF!</v>
      </c>
      <c r="S100" s="50">
        <v>-3000</v>
      </c>
      <c r="T100" s="50">
        <v>200</v>
      </c>
      <c r="U100" s="50">
        <v>600</v>
      </c>
      <c r="V100" s="50">
        <v>-3000</v>
      </c>
      <c r="W100" s="50">
        <v>200</v>
      </c>
      <c r="X100" s="50">
        <v>600</v>
      </c>
      <c r="Y100" s="50">
        <v>-3000</v>
      </c>
      <c r="Z100" s="50">
        <v>200</v>
      </c>
      <c r="AA100" s="50">
        <v>600</v>
      </c>
      <c r="AB100" s="50">
        <v>-24000</v>
      </c>
      <c r="AC100" s="50">
        <v>-4.3637157039218902E-2</v>
      </c>
      <c r="AD100" s="50">
        <v>-1000</v>
      </c>
      <c r="AE100" s="50">
        <v>-24000</v>
      </c>
      <c r="AF100" s="50">
        <v>-4.3637157039218902E-2</v>
      </c>
      <c r="AG100" s="50">
        <v>-1000</v>
      </c>
      <c r="AH100" s="50">
        <v>-24000</v>
      </c>
      <c r="AI100" s="50">
        <v>-4.3637157039218902E-2</v>
      </c>
      <c r="AJ100" s="50">
        <v>-2000</v>
      </c>
      <c r="AK100" s="50">
        <v>-24000</v>
      </c>
      <c r="AL100" s="50">
        <v>-4.3637157039218902E-2</v>
      </c>
      <c r="AM100" s="50">
        <v>-24000</v>
      </c>
      <c r="AN100" s="50">
        <v>-4.3637157039218902E-2</v>
      </c>
      <c r="AO100" s="50">
        <v>-2000</v>
      </c>
      <c r="AP100" s="50">
        <v>0</v>
      </c>
      <c r="AQ100" s="50">
        <v>0</v>
      </c>
      <c r="AR100" s="50">
        <v>0</v>
      </c>
      <c r="AT100" s="50">
        <v>299990</v>
      </c>
      <c r="AU100" s="50">
        <v>21800</v>
      </c>
      <c r="AV100" s="50">
        <v>692390</v>
      </c>
      <c r="AW100" s="50">
        <v>299990</v>
      </c>
      <c r="AX100" s="50">
        <v>21800</v>
      </c>
      <c r="AY100" s="50">
        <v>692390</v>
      </c>
      <c r="AZ100" s="50">
        <v>299990</v>
      </c>
      <c r="BA100" s="50">
        <v>21800</v>
      </c>
      <c r="BB100" s="50">
        <v>692390</v>
      </c>
      <c r="BC100" s="50">
        <v>496800</v>
      </c>
      <c r="BD100" s="50">
        <v>-9.6710849288168879E-2</v>
      </c>
      <c r="BE100" s="50">
        <v>20700</v>
      </c>
      <c r="BF100" s="50">
        <v>496800</v>
      </c>
      <c r="BG100" s="50">
        <v>-9.6710849288168879E-2</v>
      </c>
      <c r="BH100" s="50">
        <v>20700</v>
      </c>
      <c r="BI100" s="50">
        <v>544800</v>
      </c>
      <c r="BJ100" s="50">
        <v>-9.436535209731086E-3</v>
      </c>
      <c r="BK100" s="50">
        <v>45400</v>
      </c>
      <c r="BL100" s="50">
        <v>544800</v>
      </c>
      <c r="BM100" s="50">
        <v>-9.436535209731086E-3</v>
      </c>
      <c r="BN100" s="50">
        <v>544800</v>
      </c>
      <c r="BO100" s="50">
        <v>-9.436535209731086E-3</v>
      </c>
      <c r="BP100" s="50">
        <v>45400</v>
      </c>
      <c r="BQ100" s="50">
        <v>549990</v>
      </c>
      <c r="BR100" s="50" t="s">
        <v>745</v>
      </c>
      <c r="BS100" s="50" t="s">
        <v>746</v>
      </c>
    </row>
    <row r="101" spans="1:71" ht="15.75" customHeight="1" x14ac:dyDescent="0.2">
      <c r="A101" s="25" t="s">
        <v>602</v>
      </c>
      <c r="B101" s="26" t="s">
        <v>603</v>
      </c>
      <c r="C101" s="27" t="s">
        <v>401</v>
      </c>
      <c r="D101" s="50">
        <v>472800</v>
      </c>
      <c r="E101" s="30">
        <f>+(D101-$P101)/$P101</f>
        <v>-0.14034800632738778</v>
      </c>
      <c r="F101" s="50">
        <f t="shared" si="10"/>
        <v>19700</v>
      </c>
      <c r="G101" s="50">
        <v>472800</v>
      </c>
      <c r="H101" s="30">
        <f>+(G101-$P101)/$P101</f>
        <v>-0.14034800632738778</v>
      </c>
      <c r="I101" s="50">
        <f t="shared" si="11"/>
        <v>19700</v>
      </c>
      <c r="J101" s="50">
        <v>520800</v>
      </c>
      <c r="K101" s="30">
        <f>+(J101-$P101)/$P101</f>
        <v>-5.3073692248949984E-2</v>
      </c>
      <c r="L101" s="50">
        <f t="shared" si="12"/>
        <v>43400</v>
      </c>
      <c r="M101" s="50">
        <v>520800</v>
      </c>
      <c r="N101" s="30">
        <f t="shared" si="13"/>
        <v>-5.3073692248949984E-2</v>
      </c>
      <c r="O101" s="50">
        <f t="shared" si="14"/>
        <v>43400</v>
      </c>
      <c r="P101" s="50">
        <v>549990</v>
      </c>
      <c r="Q101" t="s">
        <v>786</v>
      </c>
      <c r="R101" t="e">
        <f>VLOOKUP(B101,#REF!,1,0)</f>
        <v>#REF!</v>
      </c>
      <c r="S101" s="50">
        <v>-3000</v>
      </c>
      <c r="T101" s="50">
        <v>200</v>
      </c>
      <c r="U101" s="50">
        <v>600</v>
      </c>
      <c r="V101" s="50">
        <v>-3000</v>
      </c>
      <c r="W101" s="50">
        <v>200</v>
      </c>
      <c r="X101" s="50">
        <v>600</v>
      </c>
      <c r="Y101" s="50">
        <v>-3000</v>
      </c>
      <c r="Z101" s="50">
        <v>200</v>
      </c>
      <c r="AA101" s="50">
        <v>600</v>
      </c>
      <c r="AB101" s="50">
        <v>-24000</v>
      </c>
      <c r="AC101" s="50">
        <v>-4.3637157039218902E-2</v>
      </c>
      <c r="AD101" s="50">
        <v>-1000</v>
      </c>
      <c r="AE101" s="50">
        <v>-24000</v>
      </c>
      <c r="AF101" s="50">
        <v>-4.3637157039218902E-2</v>
      </c>
      <c r="AG101" s="50">
        <v>-1000</v>
      </c>
      <c r="AH101" s="50">
        <v>-24000</v>
      </c>
      <c r="AI101" s="50">
        <v>-4.3637157039218902E-2</v>
      </c>
      <c r="AJ101" s="50">
        <v>-2000</v>
      </c>
      <c r="AK101" s="50">
        <v>-24000</v>
      </c>
      <c r="AL101" s="50">
        <v>-4.3637157039218902E-2</v>
      </c>
      <c r="AM101" s="50">
        <v>-24000</v>
      </c>
      <c r="AN101" s="50">
        <v>-4.3637157039218902E-2</v>
      </c>
      <c r="AO101" s="50">
        <v>-2000</v>
      </c>
      <c r="AP101" s="50">
        <v>0</v>
      </c>
      <c r="AQ101" s="50">
        <v>0</v>
      </c>
      <c r="AR101" s="50">
        <v>0</v>
      </c>
      <c r="AT101" s="50">
        <v>299990</v>
      </c>
      <c r="AU101" s="50">
        <v>21800</v>
      </c>
      <c r="AV101" s="50">
        <v>692390</v>
      </c>
      <c r="AW101" s="50">
        <v>299990</v>
      </c>
      <c r="AX101" s="50">
        <v>21800</v>
      </c>
      <c r="AY101" s="50">
        <v>692390</v>
      </c>
      <c r="AZ101" s="50">
        <v>299990</v>
      </c>
      <c r="BA101" s="50">
        <v>21800</v>
      </c>
      <c r="BB101" s="50">
        <v>692390</v>
      </c>
      <c r="BC101" s="50">
        <v>496800</v>
      </c>
      <c r="BD101" s="50">
        <v>-9.6710849288168879E-2</v>
      </c>
      <c r="BE101" s="50">
        <v>20700</v>
      </c>
      <c r="BF101" s="50">
        <v>496800</v>
      </c>
      <c r="BG101" s="50">
        <v>-9.6710849288168879E-2</v>
      </c>
      <c r="BH101" s="50">
        <v>20700</v>
      </c>
      <c r="BI101" s="50">
        <v>544800</v>
      </c>
      <c r="BJ101" s="50">
        <v>-9.436535209731086E-3</v>
      </c>
      <c r="BK101" s="50">
        <v>45400</v>
      </c>
      <c r="BL101" s="50">
        <v>544800</v>
      </c>
      <c r="BM101" s="50">
        <v>-9.436535209731086E-3</v>
      </c>
      <c r="BN101" s="50">
        <v>544800</v>
      </c>
      <c r="BO101" s="50">
        <v>-9.436535209731086E-3</v>
      </c>
      <c r="BP101" s="50">
        <v>45400</v>
      </c>
      <c r="BQ101" s="50">
        <v>549990</v>
      </c>
      <c r="BR101" s="50" t="s">
        <v>745</v>
      </c>
      <c r="BS101" s="50" t="s">
        <v>746</v>
      </c>
    </row>
    <row r="102" spans="1:71" ht="15.75" customHeight="1" x14ac:dyDescent="0.2">
      <c r="A102" s="25" t="s">
        <v>604</v>
      </c>
      <c r="B102" s="26" t="s">
        <v>605</v>
      </c>
      <c r="C102" s="27" t="s">
        <v>401</v>
      </c>
      <c r="D102" s="50">
        <v>472800</v>
      </c>
      <c r="E102" s="30">
        <f>+(D102-$P102)/$P102</f>
        <v>-0.14034800632738778</v>
      </c>
      <c r="F102" s="50">
        <f t="shared" si="10"/>
        <v>19700</v>
      </c>
      <c r="G102" s="50">
        <v>472800</v>
      </c>
      <c r="H102" s="30">
        <f>+(G102-$P102)/$P102</f>
        <v>-0.14034800632738778</v>
      </c>
      <c r="I102" s="50">
        <f t="shared" si="11"/>
        <v>19700</v>
      </c>
      <c r="J102" s="50">
        <v>520800</v>
      </c>
      <c r="K102" s="30">
        <f>+(J102-$P102)/$P102</f>
        <v>-5.3073692248949984E-2</v>
      </c>
      <c r="L102" s="50">
        <f t="shared" si="12"/>
        <v>43400</v>
      </c>
      <c r="M102" s="50">
        <v>520800</v>
      </c>
      <c r="N102" s="30">
        <f t="shared" si="13"/>
        <v>-5.3073692248949984E-2</v>
      </c>
      <c r="O102" s="50">
        <f t="shared" si="14"/>
        <v>43400</v>
      </c>
      <c r="P102" s="50">
        <v>549990</v>
      </c>
      <c r="Q102" t="s">
        <v>786</v>
      </c>
      <c r="R102" t="e">
        <f>VLOOKUP(B102,#REF!,1,0)</f>
        <v>#REF!</v>
      </c>
      <c r="S102" s="50">
        <v>-3000</v>
      </c>
      <c r="T102" s="50">
        <v>200</v>
      </c>
      <c r="U102" s="50">
        <v>600</v>
      </c>
      <c r="V102" s="50">
        <v>-3000</v>
      </c>
      <c r="W102" s="50">
        <v>200</v>
      </c>
      <c r="X102" s="50">
        <v>600</v>
      </c>
      <c r="Y102" s="50">
        <v>-3000</v>
      </c>
      <c r="Z102" s="50">
        <v>200</v>
      </c>
      <c r="AA102" s="50">
        <v>600</v>
      </c>
      <c r="AB102" s="50">
        <v>-24000</v>
      </c>
      <c r="AC102" s="50">
        <v>-4.3637157039218902E-2</v>
      </c>
      <c r="AD102" s="50">
        <v>-1000</v>
      </c>
      <c r="AE102" s="50">
        <v>-24000</v>
      </c>
      <c r="AF102" s="50">
        <v>-4.3637157039218902E-2</v>
      </c>
      <c r="AG102" s="50">
        <v>-1000</v>
      </c>
      <c r="AH102" s="50">
        <v>-24000</v>
      </c>
      <c r="AI102" s="50">
        <v>-4.3637157039218902E-2</v>
      </c>
      <c r="AJ102" s="50">
        <v>-2000</v>
      </c>
      <c r="AK102" s="50">
        <v>-24000</v>
      </c>
      <c r="AL102" s="50">
        <v>-4.3637157039218902E-2</v>
      </c>
      <c r="AM102" s="50">
        <v>-24000</v>
      </c>
      <c r="AN102" s="50">
        <v>-4.3637157039218902E-2</v>
      </c>
      <c r="AO102" s="50">
        <v>-2000</v>
      </c>
      <c r="AP102" s="50">
        <v>0</v>
      </c>
      <c r="AQ102" s="50">
        <v>0</v>
      </c>
      <c r="AR102" s="50">
        <v>0</v>
      </c>
      <c r="AT102" s="50">
        <v>299990</v>
      </c>
      <c r="AU102" s="50">
        <v>21800</v>
      </c>
      <c r="AV102" s="50">
        <v>692390</v>
      </c>
      <c r="AW102" s="50">
        <v>299990</v>
      </c>
      <c r="AX102" s="50">
        <v>21800</v>
      </c>
      <c r="AY102" s="50">
        <v>692390</v>
      </c>
      <c r="AZ102" s="50">
        <v>299990</v>
      </c>
      <c r="BA102" s="50">
        <v>21800</v>
      </c>
      <c r="BB102" s="50">
        <v>692390</v>
      </c>
      <c r="BC102" s="50">
        <v>496800</v>
      </c>
      <c r="BD102" s="50">
        <v>-9.6710849288168879E-2</v>
      </c>
      <c r="BE102" s="50">
        <v>20700</v>
      </c>
      <c r="BF102" s="50">
        <v>496800</v>
      </c>
      <c r="BG102" s="50">
        <v>-9.6710849288168879E-2</v>
      </c>
      <c r="BH102" s="50">
        <v>20700</v>
      </c>
      <c r="BI102" s="50">
        <v>544800</v>
      </c>
      <c r="BJ102" s="50">
        <v>-9.436535209731086E-3</v>
      </c>
      <c r="BK102" s="50">
        <v>45400</v>
      </c>
      <c r="BL102" s="50">
        <v>544800</v>
      </c>
      <c r="BM102" s="50">
        <v>-9.436535209731086E-3</v>
      </c>
      <c r="BN102" s="50">
        <v>544800</v>
      </c>
      <c r="BO102" s="50">
        <v>-9.436535209731086E-3</v>
      </c>
      <c r="BP102" s="50">
        <v>45400</v>
      </c>
      <c r="BQ102" s="50">
        <v>549990</v>
      </c>
      <c r="BR102" s="50" t="s">
        <v>745</v>
      </c>
      <c r="BS102" s="50" t="s">
        <v>746</v>
      </c>
    </row>
    <row r="103" spans="1:71" ht="15.75" customHeight="1" x14ac:dyDescent="0.2">
      <c r="A103" s="25" t="s">
        <v>606</v>
      </c>
      <c r="B103" s="26" t="s">
        <v>607</v>
      </c>
      <c r="C103" s="27" t="s">
        <v>401</v>
      </c>
      <c r="D103" s="50">
        <v>472800</v>
      </c>
      <c r="E103" s="30">
        <f>+(D103-$P103)/$P103</f>
        <v>-0.14034800632738778</v>
      </c>
      <c r="F103" s="50">
        <f t="shared" si="10"/>
        <v>19700</v>
      </c>
      <c r="G103" s="50">
        <v>472800</v>
      </c>
      <c r="H103" s="30">
        <f>+(G103-$P103)/$P103</f>
        <v>-0.14034800632738778</v>
      </c>
      <c r="I103" s="50">
        <f t="shared" si="11"/>
        <v>19700</v>
      </c>
      <c r="J103" s="50">
        <v>520800</v>
      </c>
      <c r="K103" s="30">
        <f>+(J103-$P103)/$P103</f>
        <v>-5.3073692248949984E-2</v>
      </c>
      <c r="L103" s="50">
        <f t="shared" si="12"/>
        <v>43400</v>
      </c>
      <c r="M103" s="50">
        <v>520800</v>
      </c>
      <c r="N103" s="30">
        <f t="shared" si="13"/>
        <v>-5.3073692248949984E-2</v>
      </c>
      <c r="O103" s="50">
        <f t="shared" si="14"/>
        <v>43400</v>
      </c>
      <c r="P103" s="50">
        <v>549990</v>
      </c>
      <c r="Q103" t="s">
        <v>786</v>
      </c>
      <c r="R103" t="e">
        <f>VLOOKUP(B103,#REF!,1,0)</f>
        <v>#REF!</v>
      </c>
      <c r="S103" s="50">
        <v>-3000</v>
      </c>
      <c r="T103" s="50">
        <v>200</v>
      </c>
      <c r="U103" s="50">
        <v>600</v>
      </c>
      <c r="V103" s="50">
        <v>-3000</v>
      </c>
      <c r="W103" s="50">
        <v>200</v>
      </c>
      <c r="X103" s="50">
        <v>600</v>
      </c>
      <c r="Y103" s="50">
        <v>-3000</v>
      </c>
      <c r="Z103" s="50">
        <v>200</v>
      </c>
      <c r="AA103" s="50">
        <v>600</v>
      </c>
      <c r="AB103" s="50">
        <v>-24000</v>
      </c>
      <c r="AC103" s="50">
        <v>-4.3637157039218902E-2</v>
      </c>
      <c r="AD103" s="50">
        <v>-1000</v>
      </c>
      <c r="AE103" s="50">
        <v>-24000</v>
      </c>
      <c r="AF103" s="50">
        <v>-4.3637157039218902E-2</v>
      </c>
      <c r="AG103" s="50">
        <v>-1000</v>
      </c>
      <c r="AH103" s="50">
        <v>-24000</v>
      </c>
      <c r="AI103" s="50">
        <v>-4.3637157039218902E-2</v>
      </c>
      <c r="AJ103" s="50">
        <v>-2000</v>
      </c>
      <c r="AK103" s="50">
        <v>-24000</v>
      </c>
      <c r="AL103" s="50">
        <v>-4.3637157039218902E-2</v>
      </c>
      <c r="AM103" s="50">
        <v>-24000</v>
      </c>
      <c r="AN103" s="50">
        <v>-4.3637157039218902E-2</v>
      </c>
      <c r="AO103" s="50">
        <v>-2000</v>
      </c>
      <c r="AP103" s="50">
        <v>0</v>
      </c>
      <c r="AQ103" s="50">
        <v>0</v>
      </c>
      <c r="AR103" s="50">
        <v>0</v>
      </c>
      <c r="AT103" s="50">
        <v>299990</v>
      </c>
      <c r="AU103" s="50">
        <v>21800</v>
      </c>
      <c r="AV103" s="50">
        <v>692390</v>
      </c>
      <c r="AW103" s="50">
        <v>299990</v>
      </c>
      <c r="AX103" s="50">
        <v>21800</v>
      </c>
      <c r="AY103" s="50">
        <v>692390</v>
      </c>
      <c r="AZ103" s="50">
        <v>299990</v>
      </c>
      <c r="BA103" s="50">
        <v>21800</v>
      </c>
      <c r="BB103" s="50">
        <v>692390</v>
      </c>
      <c r="BC103" s="50">
        <v>496800</v>
      </c>
      <c r="BD103" s="50">
        <v>-9.6710849288168879E-2</v>
      </c>
      <c r="BE103" s="50">
        <v>20700</v>
      </c>
      <c r="BF103" s="50">
        <v>496800</v>
      </c>
      <c r="BG103" s="50">
        <v>-9.6710849288168879E-2</v>
      </c>
      <c r="BH103" s="50">
        <v>20700</v>
      </c>
      <c r="BI103" s="50">
        <v>544800</v>
      </c>
      <c r="BJ103" s="50">
        <v>-9.436535209731086E-3</v>
      </c>
      <c r="BK103" s="50">
        <v>45400</v>
      </c>
      <c r="BL103" s="50">
        <v>544800</v>
      </c>
      <c r="BM103" s="50">
        <v>-9.436535209731086E-3</v>
      </c>
      <c r="BN103" s="50">
        <v>544800</v>
      </c>
      <c r="BO103" s="50">
        <v>-9.436535209731086E-3</v>
      </c>
      <c r="BP103" s="50">
        <v>45400</v>
      </c>
      <c r="BQ103" s="50">
        <v>549990</v>
      </c>
      <c r="BR103" s="50" t="s">
        <v>745</v>
      </c>
      <c r="BS103" s="50" t="s">
        <v>746</v>
      </c>
    </row>
    <row r="104" spans="1:71" ht="15.75" customHeight="1" x14ac:dyDescent="0.2">
      <c r="A104" s="25" t="s">
        <v>608</v>
      </c>
      <c r="B104" s="26" t="s">
        <v>609</v>
      </c>
      <c r="C104" s="27" t="s">
        <v>401</v>
      </c>
      <c r="D104" s="50">
        <v>324000</v>
      </c>
      <c r="E104" s="30">
        <f>+(D104-$P104)/$P104</f>
        <v>-0.4108983799705449</v>
      </c>
      <c r="F104" s="50">
        <f t="shared" si="10"/>
        <v>13500</v>
      </c>
      <c r="G104" s="50">
        <v>324000</v>
      </c>
      <c r="H104" s="30">
        <f>+(G104-$P104)/$P104</f>
        <v>-0.4108983799705449</v>
      </c>
      <c r="I104" s="50">
        <f t="shared" si="11"/>
        <v>13500</v>
      </c>
      <c r="J104" s="50">
        <v>324000</v>
      </c>
      <c r="K104" s="30">
        <f>+(J104-$P104)/$P104</f>
        <v>-0.4108983799705449</v>
      </c>
      <c r="L104" s="50">
        <f t="shared" si="12"/>
        <v>27000</v>
      </c>
      <c r="M104" s="50">
        <v>360000</v>
      </c>
      <c r="N104" s="30">
        <f t="shared" si="13"/>
        <v>-0.34544264441171657</v>
      </c>
      <c r="O104" s="50">
        <f t="shared" si="14"/>
        <v>30000</v>
      </c>
      <c r="P104" s="50">
        <v>549990</v>
      </c>
      <c r="Q104" t="s">
        <v>787</v>
      </c>
      <c r="R104" t="e">
        <f>VLOOKUP(B104,#REF!,1,0)</f>
        <v>#REF!</v>
      </c>
      <c r="S104" s="50">
        <v>-40000</v>
      </c>
      <c r="T104" s="50">
        <v>2800</v>
      </c>
      <c r="U104" s="50">
        <v>10400</v>
      </c>
      <c r="V104" s="50">
        <v>-50000</v>
      </c>
      <c r="W104" s="50">
        <v>2800</v>
      </c>
      <c r="X104" s="50">
        <v>400</v>
      </c>
      <c r="Y104" s="50">
        <v>-50000</v>
      </c>
      <c r="Z104" s="50">
        <v>2800</v>
      </c>
      <c r="AA104" s="50">
        <v>400</v>
      </c>
      <c r="AB104" s="50">
        <v>0</v>
      </c>
      <c r="AC104" s="50">
        <v>0</v>
      </c>
      <c r="AD104" s="50">
        <v>0</v>
      </c>
      <c r="AE104" s="50">
        <v>0</v>
      </c>
      <c r="AF104" s="50">
        <v>0</v>
      </c>
      <c r="AG104" s="50">
        <v>0</v>
      </c>
      <c r="AH104" s="50">
        <v>0</v>
      </c>
      <c r="AI104" s="50">
        <v>0</v>
      </c>
      <c r="AJ104" s="50">
        <v>0</v>
      </c>
      <c r="AK104" s="50">
        <v>0</v>
      </c>
      <c r="AL104" s="50">
        <v>0</v>
      </c>
      <c r="AM104" s="50">
        <v>0</v>
      </c>
      <c r="AN104" s="50">
        <v>0</v>
      </c>
      <c r="AO104" s="50">
        <v>0</v>
      </c>
      <c r="AP104" s="50">
        <v>0</v>
      </c>
      <c r="AQ104" s="50">
        <v>0</v>
      </c>
      <c r="AR104" s="50">
        <v>0</v>
      </c>
      <c r="AT104" s="50">
        <v>199990</v>
      </c>
      <c r="AU104" s="50">
        <v>16900</v>
      </c>
      <c r="AV104" s="50">
        <v>504190</v>
      </c>
      <c r="AW104" s="50">
        <v>189990</v>
      </c>
      <c r="AX104" s="50">
        <v>16900</v>
      </c>
      <c r="AY104" s="50">
        <v>494190</v>
      </c>
      <c r="AZ104" s="50">
        <v>189990</v>
      </c>
      <c r="BA104" s="50">
        <v>16900</v>
      </c>
      <c r="BB104" s="50">
        <v>494190</v>
      </c>
      <c r="BC104" s="50">
        <v>324000</v>
      </c>
      <c r="BD104" s="50">
        <v>-0.4108983799705449</v>
      </c>
      <c r="BE104" s="50">
        <v>13500</v>
      </c>
      <c r="BF104" s="50">
        <v>324000</v>
      </c>
      <c r="BG104" s="50">
        <v>-0.4108983799705449</v>
      </c>
      <c r="BH104" s="50">
        <v>13500</v>
      </c>
      <c r="BI104" s="50">
        <v>324000</v>
      </c>
      <c r="BJ104" s="50">
        <v>-0.4108983799705449</v>
      </c>
      <c r="BK104" s="50">
        <v>27000</v>
      </c>
      <c r="BL104" s="50">
        <v>360000</v>
      </c>
      <c r="BM104" s="50">
        <v>-0.34544264441171657</v>
      </c>
      <c r="BN104" s="50">
        <v>360000</v>
      </c>
      <c r="BO104" s="50">
        <v>-0.34544264441171657</v>
      </c>
      <c r="BP104" s="50">
        <v>30000</v>
      </c>
      <c r="BQ104" s="50">
        <v>549990</v>
      </c>
      <c r="BR104" s="50" t="s">
        <v>745</v>
      </c>
      <c r="BS104" s="50" t="s">
        <v>746</v>
      </c>
    </row>
    <row r="105" spans="1:71" ht="15.75" customHeight="1" x14ac:dyDescent="0.2">
      <c r="A105" s="25" t="s">
        <v>610</v>
      </c>
      <c r="B105" s="26" t="s">
        <v>611</v>
      </c>
      <c r="C105" s="27" t="s">
        <v>401</v>
      </c>
      <c r="D105" s="50">
        <v>324000</v>
      </c>
      <c r="E105" s="30">
        <f>+(D105-$P105)/$P105</f>
        <v>-0.4108983799705449</v>
      </c>
      <c r="F105" s="50">
        <f t="shared" si="10"/>
        <v>13500</v>
      </c>
      <c r="G105" s="50">
        <v>324000</v>
      </c>
      <c r="H105" s="30">
        <f>+(G105-$P105)/$P105</f>
        <v>-0.4108983799705449</v>
      </c>
      <c r="I105" s="50">
        <f t="shared" si="11"/>
        <v>13500</v>
      </c>
      <c r="J105" s="50">
        <v>324000</v>
      </c>
      <c r="K105" s="30">
        <f>+(J105-$P105)/$P105</f>
        <v>-0.4108983799705449</v>
      </c>
      <c r="L105" s="50">
        <f t="shared" si="12"/>
        <v>27000</v>
      </c>
      <c r="M105" s="50">
        <v>360000</v>
      </c>
      <c r="N105" s="30">
        <f t="shared" si="13"/>
        <v>-0.34544264441171657</v>
      </c>
      <c r="O105" s="50">
        <f t="shared" si="14"/>
        <v>30000</v>
      </c>
      <c r="P105" s="50">
        <v>549990</v>
      </c>
      <c r="Q105" t="s">
        <v>787</v>
      </c>
      <c r="R105" t="e">
        <f>VLOOKUP(B105,#REF!,1,0)</f>
        <v>#REF!</v>
      </c>
      <c r="S105" s="50">
        <v>-40000</v>
      </c>
      <c r="T105" s="50">
        <v>2800</v>
      </c>
      <c r="U105" s="50">
        <v>10400</v>
      </c>
      <c r="V105" s="50">
        <v>-50000</v>
      </c>
      <c r="W105" s="50">
        <v>2800</v>
      </c>
      <c r="X105" s="50">
        <v>400</v>
      </c>
      <c r="Y105" s="50">
        <v>-50000</v>
      </c>
      <c r="Z105" s="50">
        <v>2800</v>
      </c>
      <c r="AA105" s="50">
        <v>400</v>
      </c>
      <c r="AB105" s="50">
        <v>0</v>
      </c>
      <c r="AC105" s="50">
        <v>0</v>
      </c>
      <c r="AD105" s="50">
        <v>0</v>
      </c>
      <c r="AE105" s="50">
        <v>0</v>
      </c>
      <c r="AF105" s="50">
        <v>0</v>
      </c>
      <c r="AG105" s="50">
        <v>0</v>
      </c>
      <c r="AH105" s="50">
        <v>0</v>
      </c>
      <c r="AI105" s="50">
        <v>0</v>
      </c>
      <c r="AJ105" s="50">
        <v>0</v>
      </c>
      <c r="AK105" s="50">
        <v>0</v>
      </c>
      <c r="AL105" s="50">
        <v>0</v>
      </c>
      <c r="AM105" s="50">
        <v>0</v>
      </c>
      <c r="AN105" s="50">
        <v>0</v>
      </c>
      <c r="AO105" s="50">
        <v>0</v>
      </c>
      <c r="AP105" s="50">
        <v>0</v>
      </c>
      <c r="AQ105" s="50">
        <v>0</v>
      </c>
      <c r="AR105" s="50">
        <v>0</v>
      </c>
      <c r="AT105" s="50">
        <v>199990</v>
      </c>
      <c r="AU105" s="50">
        <v>16900</v>
      </c>
      <c r="AV105" s="50">
        <v>504190</v>
      </c>
      <c r="AW105" s="50">
        <v>189990</v>
      </c>
      <c r="AX105" s="50">
        <v>16900</v>
      </c>
      <c r="AY105" s="50">
        <v>494190</v>
      </c>
      <c r="AZ105" s="50">
        <v>189990</v>
      </c>
      <c r="BA105" s="50">
        <v>16900</v>
      </c>
      <c r="BB105" s="50">
        <v>494190</v>
      </c>
      <c r="BC105" s="50">
        <v>324000</v>
      </c>
      <c r="BD105" s="50">
        <v>-0.4108983799705449</v>
      </c>
      <c r="BE105" s="50">
        <v>13500</v>
      </c>
      <c r="BF105" s="50">
        <v>324000</v>
      </c>
      <c r="BG105" s="50">
        <v>-0.4108983799705449</v>
      </c>
      <c r="BH105" s="50">
        <v>13500</v>
      </c>
      <c r="BI105" s="50">
        <v>324000</v>
      </c>
      <c r="BJ105" s="50">
        <v>-0.4108983799705449</v>
      </c>
      <c r="BK105" s="50">
        <v>27000</v>
      </c>
      <c r="BL105" s="50">
        <v>360000</v>
      </c>
      <c r="BM105" s="50">
        <v>-0.34544264441171657</v>
      </c>
      <c r="BN105" s="50">
        <v>360000</v>
      </c>
      <c r="BO105" s="50">
        <v>-0.34544264441171657</v>
      </c>
      <c r="BP105" s="50">
        <v>30000</v>
      </c>
      <c r="BQ105" s="50">
        <v>549990</v>
      </c>
      <c r="BR105" s="50" t="s">
        <v>745</v>
      </c>
      <c r="BS105" s="50" t="s">
        <v>746</v>
      </c>
    </row>
    <row r="106" spans="1:71" ht="15.75" customHeight="1" x14ac:dyDescent="0.2">
      <c r="A106" s="25" t="s">
        <v>612</v>
      </c>
      <c r="B106" s="26" t="s">
        <v>613</v>
      </c>
      <c r="C106" s="27" t="s">
        <v>401</v>
      </c>
      <c r="D106" s="50">
        <v>429600</v>
      </c>
      <c r="E106" s="30">
        <f>+(D106-$P106)/$P106</f>
        <v>-0.21889488899798179</v>
      </c>
      <c r="F106" s="50">
        <f t="shared" si="10"/>
        <v>17900</v>
      </c>
      <c r="G106" s="50">
        <v>429600</v>
      </c>
      <c r="H106" s="30">
        <f>+(G106-$P106)/$P106</f>
        <v>-0.21889488899798179</v>
      </c>
      <c r="I106" s="50">
        <f t="shared" si="11"/>
        <v>17900</v>
      </c>
      <c r="J106" s="50">
        <v>429600</v>
      </c>
      <c r="K106" s="30">
        <f>+(J106-$P106)/$P106</f>
        <v>-0.21889488899798179</v>
      </c>
      <c r="L106" s="50">
        <f t="shared" si="12"/>
        <v>35800</v>
      </c>
      <c r="M106" s="50">
        <v>549600</v>
      </c>
      <c r="N106" s="30">
        <f t="shared" si="13"/>
        <v>-7.0910380188730709E-4</v>
      </c>
      <c r="O106" s="50">
        <f t="shared" si="14"/>
        <v>45800</v>
      </c>
      <c r="P106" s="50">
        <v>549990</v>
      </c>
      <c r="Q106" t="s">
        <v>820</v>
      </c>
      <c r="R106" t="e">
        <f>VLOOKUP(B106,#REF!,1,0)</f>
        <v>#REF!</v>
      </c>
      <c r="S106" s="50">
        <v>-68000</v>
      </c>
      <c r="T106" s="50">
        <v>3800</v>
      </c>
      <c r="U106" s="50">
        <v>400</v>
      </c>
      <c r="V106" s="50">
        <v>-68000</v>
      </c>
      <c r="W106" s="50">
        <v>3800</v>
      </c>
      <c r="X106" s="50">
        <v>400</v>
      </c>
      <c r="Y106" s="50">
        <v>-68000</v>
      </c>
      <c r="Z106" s="50">
        <v>3800</v>
      </c>
      <c r="AA106" s="50">
        <v>400</v>
      </c>
      <c r="AB106" s="50">
        <v>12000.000000000116</v>
      </c>
      <c r="AC106" s="50">
        <v>2.1818578519609638E-2</v>
      </c>
      <c r="AD106" s="50">
        <v>500.00000000000364</v>
      </c>
      <c r="AE106" s="50">
        <v>12000.000000000116</v>
      </c>
      <c r="AF106" s="50">
        <v>2.1818578519609638E-2</v>
      </c>
      <c r="AG106" s="50">
        <v>500.00000000000364</v>
      </c>
      <c r="AH106" s="50">
        <v>12000.000000000116</v>
      </c>
      <c r="AI106" s="50">
        <v>2.1818578519609638E-2</v>
      </c>
      <c r="AJ106" s="50">
        <v>1000.0000000000073</v>
      </c>
      <c r="AK106" s="50">
        <v>72000.000000000116</v>
      </c>
      <c r="AL106" s="50">
        <v>0.13091147111765691</v>
      </c>
      <c r="AM106" s="50">
        <v>72000.000000000116</v>
      </c>
      <c r="AN106" s="50">
        <v>0.13091147111765691</v>
      </c>
      <c r="AO106" s="50">
        <v>6000.0000000000073</v>
      </c>
      <c r="AP106" s="50">
        <v>0</v>
      </c>
      <c r="AQ106" s="50">
        <v>0</v>
      </c>
      <c r="AR106" s="50">
        <v>0</v>
      </c>
      <c r="AT106" s="50">
        <v>249990</v>
      </c>
      <c r="AU106" s="50">
        <v>22400</v>
      </c>
      <c r="AV106" s="50">
        <v>653190</v>
      </c>
      <c r="AW106" s="50">
        <v>249990</v>
      </c>
      <c r="AX106" s="50">
        <v>22400</v>
      </c>
      <c r="AY106" s="50">
        <v>653190</v>
      </c>
      <c r="AZ106" s="50">
        <v>249990</v>
      </c>
      <c r="BA106" s="50">
        <v>22400</v>
      </c>
      <c r="BB106" s="50">
        <v>653190</v>
      </c>
      <c r="BC106" s="50">
        <v>417599.99999999988</v>
      </c>
      <c r="BD106" s="50">
        <v>-0.24071346751759143</v>
      </c>
      <c r="BE106" s="50">
        <v>17399.999999999996</v>
      </c>
      <c r="BF106" s="50">
        <v>417599.99999999988</v>
      </c>
      <c r="BG106" s="50">
        <v>-0.24071346751759143</v>
      </c>
      <c r="BH106" s="50">
        <v>17399.999999999996</v>
      </c>
      <c r="BI106" s="50">
        <v>417599.99999999988</v>
      </c>
      <c r="BJ106" s="50">
        <v>-0.24071346751759143</v>
      </c>
      <c r="BK106" s="50">
        <v>34799.999999999993</v>
      </c>
      <c r="BL106" s="50">
        <v>477599.99999999988</v>
      </c>
      <c r="BM106" s="50">
        <v>-0.13162057491954421</v>
      </c>
      <c r="BN106" s="50">
        <v>477599.99999999988</v>
      </c>
      <c r="BO106" s="50">
        <v>-0.13162057491954421</v>
      </c>
      <c r="BP106" s="50">
        <v>39799.999999999993</v>
      </c>
      <c r="BQ106" s="50">
        <v>549990</v>
      </c>
      <c r="BR106" s="50" t="s">
        <v>745</v>
      </c>
      <c r="BS106" s="50" t="s">
        <v>746</v>
      </c>
    </row>
    <row r="107" spans="1:71" ht="15.75" customHeight="1" x14ac:dyDescent="0.2">
      <c r="A107" s="25" t="s">
        <v>614</v>
      </c>
      <c r="B107" s="26" t="s">
        <v>615</v>
      </c>
      <c r="C107" s="27" t="s">
        <v>401</v>
      </c>
      <c r="D107" s="50">
        <v>429600</v>
      </c>
      <c r="E107" s="30">
        <f>+(D107-$P107)/$P107</f>
        <v>-0.21889488899798179</v>
      </c>
      <c r="F107" s="50">
        <f t="shared" si="10"/>
        <v>17900</v>
      </c>
      <c r="G107" s="50">
        <v>429600</v>
      </c>
      <c r="H107" s="30">
        <f>+(G107-$P107)/$P107</f>
        <v>-0.21889488899798179</v>
      </c>
      <c r="I107" s="50">
        <f t="shared" si="11"/>
        <v>17900</v>
      </c>
      <c r="J107" s="50">
        <v>429600</v>
      </c>
      <c r="K107" s="30">
        <f>+(J107-$P107)/$P107</f>
        <v>-0.21889488899798179</v>
      </c>
      <c r="L107" s="50">
        <f t="shared" si="12"/>
        <v>35800</v>
      </c>
      <c r="M107" s="50">
        <v>549600</v>
      </c>
      <c r="N107" s="30">
        <f t="shared" si="13"/>
        <v>-7.0910380188730709E-4</v>
      </c>
      <c r="O107" s="50">
        <f t="shared" si="14"/>
        <v>45800</v>
      </c>
      <c r="P107" s="50">
        <v>549990</v>
      </c>
      <c r="Q107" t="s">
        <v>820</v>
      </c>
      <c r="R107" t="e">
        <f>VLOOKUP(B107,#REF!,1,0)</f>
        <v>#REF!</v>
      </c>
      <c r="S107" s="50">
        <v>-68000</v>
      </c>
      <c r="T107" s="50">
        <v>3800</v>
      </c>
      <c r="U107" s="50">
        <v>400</v>
      </c>
      <c r="V107" s="50">
        <v>-68000</v>
      </c>
      <c r="W107" s="50">
        <v>3800</v>
      </c>
      <c r="X107" s="50">
        <v>400</v>
      </c>
      <c r="Y107" s="50">
        <v>-68000</v>
      </c>
      <c r="Z107" s="50">
        <v>3800</v>
      </c>
      <c r="AA107" s="50">
        <v>400</v>
      </c>
      <c r="AB107" s="50">
        <v>12000.000000000116</v>
      </c>
      <c r="AC107" s="50">
        <v>2.1818578519609638E-2</v>
      </c>
      <c r="AD107" s="50">
        <v>500.00000000000364</v>
      </c>
      <c r="AE107" s="50">
        <v>12000.000000000116</v>
      </c>
      <c r="AF107" s="50">
        <v>2.1818578519609638E-2</v>
      </c>
      <c r="AG107" s="50">
        <v>500.00000000000364</v>
      </c>
      <c r="AH107" s="50">
        <v>12000.000000000116</v>
      </c>
      <c r="AI107" s="50">
        <v>2.1818578519609638E-2</v>
      </c>
      <c r="AJ107" s="50">
        <v>1000.0000000000073</v>
      </c>
      <c r="AK107" s="50">
        <v>72000.000000000116</v>
      </c>
      <c r="AL107" s="50">
        <v>0.13091147111765691</v>
      </c>
      <c r="AM107" s="50">
        <v>72000.000000000116</v>
      </c>
      <c r="AN107" s="50">
        <v>0.13091147111765691</v>
      </c>
      <c r="AO107" s="50">
        <v>6000.0000000000073</v>
      </c>
      <c r="AP107" s="50">
        <v>0</v>
      </c>
      <c r="AQ107" s="50">
        <v>0</v>
      </c>
      <c r="AR107" s="50">
        <v>0</v>
      </c>
      <c r="AT107" s="50">
        <v>249990</v>
      </c>
      <c r="AU107" s="50">
        <v>22400</v>
      </c>
      <c r="AV107" s="50">
        <v>653190</v>
      </c>
      <c r="AW107" s="50">
        <v>249990</v>
      </c>
      <c r="AX107" s="50">
        <v>22400</v>
      </c>
      <c r="AY107" s="50">
        <v>653190</v>
      </c>
      <c r="AZ107" s="50">
        <v>249990</v>
      </c>
      <c r="BA107" s="50">
        <v>22400</v>
      </c>
      <c r="BB107" s="50">
        <v>653190</v>
      </c>
      <c r="BC107" s="50">
        <v>417599.99999999988</v>
      </c>
      <c r="BD107" s="50">
        <v>-0.24071346751759143</v>
      </c>
      <c r="BE107" s="50">
        <v>17399.999999999996</v>
      </c>
      <c r="BF107" s="50">
        <v>417599.99999999988</v>
      </c>
      <c r="BG107" s="50">
        <v>-0.24071346751759143</v>
      </c>
      <c r="BH107" s="50">
        <v>17399.999999999996</v>
      </c>
      <c r="BI107" s="50">
        <v>417599.99999999988</v>
      </c>
      <c r="BJ107" s="50">
        <v>-0.24071346751759143</v>
      </c>
      <c r="BK107" s="50">
        <v>34799.999999999993</v>
      </c>
      <c r="BL107" s="50">
        <v>477599.99999999988</v>
      </c>
      <c r="BM107" s="50">
        <v>-0.13162057491954421</v>
      </c>
      <c r="BN107" s="50">
        <v>477599.99999999988</v>
      </c>
      <c r="BO107" s="50">
        <v>-0.13162057491954421</v>
      </c>
      <c r="BP107" s="50">
        <v>39799.999999999993</v>
      </c>
      <c r="BQ107" s="50">
        <v>549990</v>
      </c>
      <c r="BR107" s="50" t="s">
        <v>745</v>
      </c>
      <c r="BS107" s="50" t="s">
        <v>746</v>
      </c>
    </row>
    <row r="108" spans="1:71" ht="15.75" customHeight="1" x14ac:dyDescent="0.2">
      <c r="A108" s="25" t="s">
        <v>616</v>
      </c>
      <c r="B108" s="26" t="s">
        <v>617</v>
      </c>
      <c r="C108" s="27" t="s">
        <v>401</v>
      </c>
      <c r="D108" s="50">
        <v>429600</v>
      </c>
      <c r="E108" s="30">
        <f>+(D108-$P108)/$P108</f>
        <v>-0.21889488899798179</v>
      </c>
      <c r="F108" s="50">
        <f t="shared" si="10"/>
        <v>17900</v>
      </c>
      <c r="G108" s="50">
        <v>429600</v>
      </c>
      <c r="H108" s="30">
        <f>+(G108-$P108)/$P108</f>
        <v>-0.21889488899798179</v>
      </c>
      <c r="I108" s="50">
        <f t="shared" si="11"/>
        <v>17900</v>
      </c>
      <c r="J108" s="50">
        <v>429600</v>
      </c>
      <c r="K108" s="30">
        <f>+(J108-$P108)/$P108</f>
        <v>-0.21889488899798179</v>
      </c>
      <c r="L108" s="50">
        <f t="shared" si="12"/>
        <v>35800</v>
      </c>
      <c r="M108" s="50">
        <v>549600</v>
      </c>
      <c r="N108" s="30">
        <f t="shared" si="13"/>
        <v>-7.0910380188730709E-4</v>
      </c>
      <c r="O108" s="50">
        <f t="shared" si="14"/>
        <v>45800</v>
      </c>
      <c r="P108" s="50">
        <v>549990</v>
      </c>
      <c r="Q108" t="s">
        <v>820</v>
      </c>
      <c r="R108" t="e">
        <f>VLOOKUP(B108,#REF!,1,0)</f>
        <v>#REF!</v>
      </c>
      <c r="S108" s="50">
        <v>-68000</v>
      </c>
      <c r="T108" s="50">
        <v>3800</v>
      </c>
      <c r="U108" s="50">
        <v>400</v>
      </c>
      <c r="V108" s="50">
        <v>-68000</v>
      </c>
      <c r="W108" s="50">
        <v>3800</v>
      </c>
      <c r="X108" s="50">
        <v>400</v>
      </c>
      <c r="Y108" s="50">
        <v>-68000</v>
      </c>
      <c r="Z108" s="50">
        <v>3800</v>
      </c>
      <c r="AA108" s="50">
        <v>400</v>
      </c>
      <c r="AB108" s="50">
        <v>12000.000000000116</v>
      </c>
      <c r="AC108" s="50">
        <v>2.1818578519609638E-2</v>
      </c>
      <c r="AD108" s="50">
        <v>500.00000000000364</v>
      </c>
      <c r="AE108" s="50">
        <v>12000.000000000116</v>
      </c>
      <c r="AF108" s="50">
        <v>2.1818578519609638E-2</v>
      </c>
      <c r="AG108" s="50">
        <v>500.00000000000364</v>
      </c>
      <c r="AH108" s="50">
        <v>12000.000000000116</v>
      </c>
      <c r="AI108" s="50">
        <v>2.1818578519609638E-2</v>
      </c>
      <c r="AJ108" s="50">
        <v>1000.0000000000073</v>
      </c>
      <c r="AK108" s="50">
        <v>72000.000000000116</v>
      </c>
      <c r="AL108" s="50">
        <v>0.13091147111765691</v>
      </c>
      <c r="AM108" s="50">
        <v>72000.000000000116</v>
      </c>
      <c r="AN108" s="50">
        <v>0.13091147111765691</v>
      </c>
      <c r="AO108" s="50">
        <v>6000.0000000000073</v>
      </c>
      <c r="AP108" s="50">
        <v>0</v>
      </c>
      <c r="AQ108" s="50">
        <v>0</v>
      </c>
      <c r="AR108" s="50">
        <v>0</v>
      </c>
      <c r="AT108" s="50">
        <v>249990</v>
      </c>
      <c r="AU108" s="50">
        <v>22400</v>
      </c>
      <c r="AV108" s="50">
        <v>653190</v>
      </c>
      <c r="AW108" s="50">
        <v>249990</v>
      </c>
      <c r="AX108" s="50">
        <v>22400</v>
      </c>
      <c r="AY108" s="50">
        <v>653190</v>
      </c>
      <c r="AZ108" s="50">
        <v>249990</v>
      </c>
      <c r="BA108" s="50">
        <v>22400</v>
      </c>
      <c r="BB108" s="50">
        <v>653190</v>
      </c>
      <c r="BC108" s="50">
        <v>417599.99999999988</v>
      </c>
      <c r="BD108" s="50">
        <v>-0.24071346751759143</v>
      </c>
      <c r="BE108" s="50">
        <v>17399.999999999996</v>
      </c>
      <c r="BF108" s="50">
        <v>417599.99999999988</v>
      </c>
      <c r="BG108" s="50">
        <v>-0.24071346751759143</v>
      </c>
      <c r="BH108" s="50">
        <v>17399.999999999996</v>
      </c>
      <c r="BI108" s="50">
        <v>417599.99999999988</v>
      </c>
      <c r="BJ108" s="50">
        <v>-0.24071346751759143</v>
      </c>
      <c r="BK108" s="50">
        <v>34799.999999999993</v>
      </c>
      <c r="BL108" s="50">
        <v>477599.99999999988</v>
      </c>
      <c r="BM108" s="50">
        <v>-0.13162057491954421</v>
      </c>
      <c r="BN108" s="50">
        <v>477599.99999999988</v>
      </c>
      <c r="BO108" s="50">
        <v>-0.13162057491954421</v>
      </c>
      <c r="BP108" s="50">
        <v>39799.999999999993</v>
      </c>
      <c r="BQ108" s="50">
        <v>549990</v>
      </c>
      <c r="BR108" s="50" t="s">
        <v>745</v>
      </c>
      <c r="BS108" s="50" t="s">
        <v>746</v>
      </c>
    </row>
    <row r="109" spans="1:71" ht="15.75" customHeight="1" x14ac:dyDescent="0.2">
      <c r="A109" s="25" t="s">
        <v>618</v>
      </c>
      <c r="B109" s="26" t="s">
        <v>619</v>
      </c>
      <c r="C109" s="27" t="s">
        <v>401</v>
      </c>
      <c r="D109" s="50">
        <v>429600</v>
      </c>
      <c r="E109" s="30">
        <f>+(D109-$P109)/$P109</f>
        <v>-0.21889488899798179</v>
      </c>
      <c r="F109" s="50">
        <f t="shared" si="10"/>
        <v>17900</v>
      </c>
      <c r="G109" s="50">
        <v>429600</v>
      </c>
      <c r="H109" s="30">
        <f>+(G109-$P109)/$P109</f>
        <v>-0.21889488899798179</v>
      </c>
      <c r="I109" s="50">
        <f t="shared" si="11"/>
        <v>17900</v>
      </c>
      <c r="J109" s="50">
        <v>429600</v>
      </c>
      <c r="K109" s="30">
        <f>+(J109-$P109)/$P109</f>
        <v>-0.21889488899798179</v>
      </c>
      <c r="L109" s="50">
        <f t="shared" si="12"/>
        <v>35800</v>
      </c>
      <c r="M109" s="50">
        <v>549600</v>
      </c>
      <c r="N109" s="30">
        <f t="shared" si="13"/>
        <v>-7.0910380188730709E-4</v>
      </c>
      <c r="O109" s="50">
        <f t="shared" si="14"/>
        <v>45800</v>
      </c>
      <c r="P109" s="50">
        <v>549990</v>
      </c>
      <c r="Q109" t="s">
        <v>820</v>
      </c>
      <c r="R109" t="e">
        <f>VLOOKUP(B109,#REF!,1,0)</f>
        <v>#REF!</v>
      </c>
      <c r="S109" s="50">
        <v>-68000</v>
      </c>
      <c r="T109" s="50">
        <v>3800</v>
      </c>
      <c r="U109" s="50">
        <v>400</v>
      </c>
      <c r="V109" s="50">
        <v>-68000</v>
      </c>
      <c r="W109" s="50">
        <v>3800</v>
      </c>
      <c r="X109" s="50">
        <v>400</v>
      </c>
      <c r="Y109" s="50">
        <v>-68000</v>
      </c>
      <c r="Z109" s="50">
        <v>3800</v>
      </c>
      <c r="AA109" s="50">
        <v>400</v>
      </c>
      <c r="AB109" s="50">
        <v>12000.000000000116</v>
      </c>
      <c r="AC109" s="50">
        <v>2.1818578519609638E-2</v>
      </c>
      <c r="AD109" s="50">
        <v>500.00000000000364</v>
      </c>
      <c r="AE109" s="50">
        <v>12000.000000000116</v>
      </c>
      <c r="AF109" s="50">
        <v>2.1818578519609638E-2</v>
      </c>
      <c r="AG109" s="50">
        <v>500.00000000000364</v>
      </c>
      <c r="AH109" s="50">
        <v>12000.000000000116</v>
      </c>
      <c r="AI109" s="50">
        <v>2.1818578519609638E-2</v>
      </c>
      <c r="AJ109" s="50">
        <v>1000.0000000000073</v>
      </c>
      <c r="AK109" s="50">
        <v>72000.000000000116</v>
      </c>
      <c r="AL109" s="50">
        <v>0.13091147111765691</v>
      </c>
      <c r="AM109" s="50">
        <v>72000.000000000116</v>
      </c>
      <c r="AN109" s="50">
        <v>0.13091147111765691</v>
      </c>
      <c r="AO109" s="50">
        <v>6000.0000000000073</v>
      </c>
      <c r="AP109" s="50">
        <v>0</v>
      </c>
      <c r="AQ109" s="50">
        <v>0</v>
      </c>
      <c r="AR109" s="50">
        <v>0</v>
      </c>
      <c r="AT109" s="50">
        <v>249990</v>
      </c>
      <c r="AU109" s="50">
        <v>22400</v>
      </c>
      <c r="AV109" s="50">
        <v>653190</v>
      </c>
      <c r="AW109" s="50">
        <v>249990</v>
      </c>
      <c r="AX109" s="50">
        <v>22400</v>
      </c>
      <c r="AY109" s="50">
        <v>653190</v>
      </c>
      <c r="AZ109" s="50">
        <v>249990</v>
      </c>
      <c r="BA109" s="50">
        <v>22400</v>
      </c>
      <c r="BB109" s="50">
        <v>653190</v>
      </c>
      <c r="BC109" s="50">
        <v>417599.99999999988</v>
      </c>
      <c r="BD109" s="50">
        <v>-0.24071346751759143</v>
      </c>
      <c r="BE109" s="50">
        <v>17399.999999999996</v>
      </c>
      <c r="BF109" s="50">
        <v>417599.99999999988</v>
      </c>
      <c r="BG109" s="50">
        <v>-0.24071346751759143</v>
      </c>
      <c r="BH109" s="50">
        <v>17399.999999999996</v>
      </c>
      <c r="BI109" s="50">
        <v>417599.99999999988</v>
      </c>
      <c r="BJ109" s="50">
        <v>-0.24071346751759143</v>
      </c>
      <c r="BK109" s="50">
        <v>34799.999999999993</v>
      </c>
      <c r="BL109" s="50">
        <v>477599.99999999988</v>
      </c>
      <c r="BM109" s="50">
        <v>-0.13162057491954421</v>
      </c>
      <c r="BN109" s="50">
        <v>477599.99999999988</v>
      </c>
      <c r="BO109" s="50">
        <v>-0.13162057491954421</v>
      </c>
      <c r="BP109" s="50">
        <v>39799.999999999993</v>
      </c>
      <c r="BQ109" s="50">
        <v>549990</v>
      </c>
      <c r="BR109" s="50" t="s">
        <v>745</v>
      </c>
      <c r="BS109" s="50" t="s">
        <v>746</v>
      </c>
    </row>
    <row r="110" spans="1:71" ht="15.75" customHeight="1" x14ac:dyDescent="0.2">
      <c r="A110" s="25" t="s">
        <v>620</v>
      </c>
      <c r="B110" s="26" t="s">
        <v>621</v>
      </c>
      <c r="C110" s="27" t="s">
        <v>44</v>
      </c>
      <c r="D110" s="50">
        <v>320000</v>
      </c>
      <c r="E110" s="30">
        <f>+(D110-$P110)/$P110</f>
        <v>-0.46665777762962718</v>
      </c>
      <c r="F110" s="50">
        <f t="shared" si="10"/>
        <v>13333.333333333334</v>
      </c>
      <c r="G110" s="50">
        <v>320000</v>
      </c>
      <c r="H110" s="30">
        <f>+(G110-$P110)/$P110</f>
        <v>-0.46665777762962718</v>
      </c>
      <c r="I110" s="50">
        <f t="shared" si="11"/>
        <v>13333.333333333334</v>
      </c>
      <c r="J110" s="50">
        <v>356000</v>
      </c>
      <c r="K110" s="30">
        <f>+(J110-$P110)/$P110</f>
        <v>-0.40665677761296021</v>
      </c>
      <c r="L110" s="50">
        <f t="shared" si="12"/>
        <v>29666.666666666668</v>
      </c>
      <c r="M110" s="50">
        <v>356000</v>
      </c>
      <c r="N110" s="30">
        <f t="shared" si="13"/>
        <v>-0.40665677761296021</v>
      </c>
      <c r="O110" s="50">
        <f t="shared" si="14"/>
        <v>29666.666666666668</v>
      </c>
      <c r="P110" s="50">
        <v>599990</v>
      </c>
      <c r="Q110" t="s">
        <v>788</v>
      </c>
      <c r="R110" t="e">
        <f>VLOOKUP(B110,#REF!,1,0)</f>
        <v>#REF!</v>
      </c>
      <c r="S110" s="50">
        <v>-53000</v>
      </c>
      <c r="T110" s="50">
        <v>3000</v>
      </c>
      <c r="U110" s="50">
        <v>1000</v>
      </c>
      <c r="V110" s="50">
        <v>-53000</v>
      </c>
      <c r="W110" s="50">
        <v>3000</v>
      </c>
      <c r="X110" s="50">
        <v>1000</v>
      </c>
      <c r="Y110" s="50">
        <v>-53000</v>
      </c>
      <c r="Z110" s="50">
        <v>3000</v>
      </c>
      <c r="AA110" s="50">
        <v>1000</v>
      </c>
      <c r="AB110" s="50">
        <v>0</v>
      </c>
      <c r="AC110" s="50">
        <v>0</v>
      </c>
      <c r="AD110" s="50">
        <v>0</v>
      </c>
      <c r="AE110" s="50">
        <v>0</v>
      </c>
      <c r="AF110" s="50">
        <v>0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0</v>
      </c>
      <c r="AM110" s="50">
        <v>0</v>
      </c>
      <c r="AN110" s="50">
        <v>0</v>
      </c>
      <c r="AO110" s="50">
        <v>0</v>
      </c>
      <c r="AP110" s="50">
        <v>0</v>
      </c>
      <c r="AQ110" s="50">
        <v>0</v>
      </c>
      <c r="AR110" s="50">
        <v>0</v>
      </c>
      <c r="AT110" s="50">
        <v>239990</v>
      </c>
      <c r="AU110" s="50">
        <v>20200</v>
      </c>
      <c r="AV110" s="50">
        <v>603590</v>
      </c>
      <c r="AW110" s="50">
        <v>239990</v>
      </c>
      <c r="AX110" s="50">
        <v>20200</v>
      </c>
      <c r="AY110" s="50">
        <v>603590</v>
      </c>
      <c r="AZ110" s="50">
        <v>239990</v>
      </c>
      <c r="BA110" s="50">
        <v>20200</v>
      </c>
      <c r="BB110" s="50">
        <v>603590</v>
      </c>
      <c r="BC110" s="50">
        <v>320000</v>
      </c>
      <c r="BD110" s="50">
        <v>-0.46665777762962718</v>
      </c>
      <c r="BE110" s="50">
        <v>13333.333333333334</v>
      </c>
      <c r="BF110" s="50">
        <v>320000</v>
      </c>
      <c r="BG110" s="50">
        <v>-0.46665777762962718</v>
      </c>
      <c r="BH110" s="50">
        <v>13333.333333333334</v>
      </c>
      <c r="BI110" s="50">
        <v>356000</v>
      </c>
      <c r="BJ110" s="50">
        <v>-0.40665677761296021</v>
      </c>
      <c r="BK110" s="50">
        <v>29666.666666666668</v>
      </c>
      <c r="BL110" s="50">
        <v>356000</v>
      </c>
      <c r="BM110" s="50">
        <v>-0.40665677761296021</v>
      </c>
      <c r="BN110" s="50">
        <v>356000</v>
      </c>
      <c r="BO110" s="50">
        <v>-0.40665677761296021</v>
      </c>
      <c r="BP110" s="50">
        <v>29666.666666666668</v>
      </c>
      <c r="BQ110" s="50">
        <v>599990</v>
      </c>
      <c r="BR110" s="50" t="s">
        <v>747</v>
      </c>
      <c r="BS110" s="50" t="s">
        <v>748</v>
      </c>
    </row>
    <row r="111" spans="1:71" ht="15.75" customHeight="1" x14ac:dyDescent="0.2">
      <c r="A111" s="25" t="s">
        <v>622</v>
      </c>
      <c r="B111" s="26" t="s">
        <v>623</v>
      </c>
      <c r="C111" s="27" t="s">
        <v>44</v>
      </c>
      <c r="D111" s="50">
        <v>320000</v>
      </c>
      <c r="E111" s="30">
        <f>+(D111-$P111)/$P111</f>
        <v>-0.46665777762962718</v>
      </c>
      <c r="F111" s="50">
        <f t="shared" si="10"/>
        <v>13333.333333333334</v>
      </c>
      <c r="G111" s="50">
        <v>320000</v>
      </c>
      <c r="H111" s="30">
        <f>+(G111-$P111)/$P111</f>
        <v>-0.46665777762962718</v>
      </c>
      <c r="I111" s="50">
        <f t="shared" si="11"/>
        <v>13333.333333333334</v>
      </c>
      <c r="J111" s="50">
        <v>356000</v>
      </c>
      <c r="K111" s="30">
        <f>+(J111-$P111)/$P111</f>
        <v>-0.40665677761296021</v>
      </c>
      <c r="L111" s="50">
        <f t="shared" si="12"/>
        <v>29666.666666666668</v>
      </c>
      <c r="M111" s="50">
        <v>356000</v>
      </c>
      <c r="N111" s="30">
        <f t="shared" si="13"/>
        <v>-0.40665677761296021</v>
      </c>
      <c r="O111" s="50">
        <f t="shared" si="14"/>
        <v>29666.666666666668</v>
      </c>
      <c r="P111" s="50">
        <v>599990</v>
      </c>
      <c r="Q111" t="s">
        <v>788</v>
      </c>
      <c r="R111" t="e">
        <f>VLOOKUP(B111,#REF!,1,0)</f>
        <v>#REF!</v>
      </c>
      <c r="S111" s="50">
        <v>-53000</v>
      </c>
      <c r="T111" s="50">
        <v>3000</v>
      </c>
      <c r="U111" s="50">
        <v>1000</v>
      </c>
      <c r="V111" s="50">
        <v>-53000</v>
      </c>
      <c r="W111" s="50">
        <v>3000</v>
      </c>
      <c r="X111" s="50">
        <v>1000</v>
      </c>
      <c r="Y111" s="50">
        <v>-53000</v>
      </c>
      <c r="Z111" s="50">
        <v>3000</v>
      </c>
      <c r="AA111" s="50">
        <v>1000</v>
      </c>
      <c r="AB111" s="50">
        <v>0</v>
      </c>
      <c r="AC111" s="50">
        <v>0</v>
      </c>
      <c r="AD111" s="50">
        <v>0</v>
      </c>
      <c r="AE111" s="50">
        <v>0</v>
      </c>
      <c r="AF111" s="50">
        <v>0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0</v>
      </c>
      <c r="AM111" s="50">
        <v>0</v>
      </c>
      <c r="AN111" s="50">
        <v>0</v>
      </c>
      <c r="AO111" s="50">
        <v>0</v>
      </c>
      <c r="AP111" s="50">
        <v>0</v>
      </c>
      <c r="AQ111" s="50">
        <v>0</v>
      </c>
      <c r="AR111" s="50">
        <v>0</v>
      </c>
      <c r="AT111" s="50">
        <v>239990</v>
      </c>
      <c r="AU111" s="50">
        <v>20200</v>
      </c>
      <c r="AV111" s="50">
        <v>603590</v>
      </c>
      <c r="AW111" s="50">
        <v>239990</v>
      </c>
      <c r="AX111" s="50">
        <v>20200</v>
      </c>
      <c r="AY111" s="50">
        <v>603590</v>
      </c>
      <c r="AZ111" s="50">
        <v>239990</v>
      </c>
      <c r="BA111" s="50">
        <v>20200</v>
      </c>
      <c r="BB111" s="50">
        <v>603590</v>
      </c>
      <c r="BC111" s="50">
        <v>320000</v>
      </c>
      <c r="BD111" s="50">
        <v>-0.46665777762962718</v>
      </c>
      <c r="BE111" s="50">
        <v>13333.333333333334</v>
      </c>
      <c r="BF111" s="50">
        <v>320000</v>
      </c>
      <c r="BG111" s="50">
        <v>-0.46665777762962718</v>
      </c>
      <c r="BH111" s="50">
        <v>13333.333333333334</v>
      </c>
      <c r="BI111" s="50">
        <v>356000</v>
      </c>
      <c r="BJ111" s="50">
        <v>-0.40665677761296021</v>
      </c>
      <c r="BK111" s="50">
        <v>29666.666666666668</v>
      </c>
      <c r="BL111" s="50">
        <v>356000</v>
      </c>
      <c r="BM111" s="50">
        <v>-0.40665677761296021</v>
      </c>
      <c r="BN111" s="50">
        <v>356000</v>
      </c>
      <c r="BO111" s="50">
        <v>-0.40665677761296021</v>
      </c>
      <c r="BP111" s="50">
        <v>29666.666666666668</v>
      </c>
      <c r="BQ111" s="50">
        <v>599990</v>
      </c>
      <c r="BR111" s="50" t="s">
        <v>747</v>
      </c>
      <c r="BS111" s="50" t="s">
        <v>748</v>
      </c>
    </row>
    <row r="112" spans="1:71" ht="15.75" customHeight="1" x14ac:dyDescent="0.2">
      <c r="A112" s="25" t="s">
        <v>624</v>
      </c>
      <c r="B112" s="26" t="s">
        <v>625</v>
      </c>
      <c r="C112" s="27" t="s">
        <v>44</v>
      </c>
      <c r="D112" s="50">
        <v>320000</v>
      </c>
      <c r="E112" s="30">
        <f>+(D112-$P112)/$P112</f>
        <v>-0.46665777762962718</v>
      </c>
      <c r="F112" s="50">
        <f t="shared" si="10"/>
        <v>13333.333333333334</v>
      </c>
      <c r="G112" s="50">
        <v>320000</v>
      </c>
      <c r="H112" s="30">
        <f>+(G112-$P112)/$P112</f>
        <v>-0.46665777762962718</v>
      </c>
      <c r="I112" s="50">
        <f t="shared" si="11"/>
        <v>13333.333333333334</v>
      </c>
      <c r="J112" s="50">
        <v>356000</v>
      </c>
      <c r="K112" s="30">
        <f>+(J112-$P112)/$P112</f>
        <v>-0.40665677761296021</v>
      </c>
      <c r="L112" s="50">
        <f t="shared" si="12"/>
        <v>29666.666666666668</v>
      </c>
      <c r="M112" s="50">
        <v>356000</v>
      </c>
      <c r="N112" s="30">
        <f t="shared" si="13"/>
        <v>-0.40665677761296021</v>
      </c>
      <c r="O112" s="50">
        <f t="shared" si="14"/>
        <v>29666.666666666668</v>
      </c>
      <c r="P112" s="50">
        <v>599990</v>
      </c>
      <c r="Q112" t="s">
        <v>788</v>
      </c>
      <c r="R112" t="e">
        <f>VLOOKUP(B112,#REF!,1,0)</f>
        <v>#REF!</v>
      </c>
      <c r="S112" s="50">
        <v>-53000</v>
      </c>
      <c r="T112" s="50">
        <v>3000</v>
      </c>
      <c r="U112" s="50">
        <v>1000</v>
      </c>
      <c r="V112" s="50">
        <v>-53000</v>
      </c>
      <c r="W112" s="50">
        <v>3000</v>
      </c>
      <c r="X112" s="50">
        <v>1000</v>
      </c>
      <c r="Y112" s="50">
        <v>-53000</v>
      </c>
      <c r="Z112" s="50">
        <v>3000</v>
      </c>
      <c r="AA112" s="50">
        <v>1000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0</v>
      </c>
      <c r="AM112" s="50">
        <v>0</v>
      </c>
      <c r="AN112" s="50">
        <v>0</v>
      </c>
      <c r="AO112" s="50">
        <v>0</v>
      </c>
      <c r="AP112" s="50">
        <v>0</v>
      </c>
      <c r="AQ112" s="50">
        <v>0</v>
      </c>
      <c r="AR112" s="50">
        <v>0</v>
      </c>
      <c r="AT112" s="50">
        <v>239990</v>
      </c>
      <c r="AU112" s="50">
        <v>20200</v>
      </c>
      <c r="AV112" s="50">
        <v>603590</v>
      </c>
      <c r="AW112" s="50">
        <v>239990</v>
      </c>
      <c r="AX112" s="50">
        <v>20200</v>
      </c>
      <c r="AY112" s="50">
        <v>603590</v>
      </c>
      <c r="AZ112" s="50">
        <v>239990</v>
      </c>
      <c r="BA112" s="50">
        <v>20200</v>
      </c>
      <c r="BB112" s="50">
        <v>603590</v>
      </c>
      <c r="BC112" s="50">
        <v>320000</v>
      </c>
      <c r="BD112" s="50">
        <v>-0.46665777762962718</v>
      </c>
      <c r="BE112" s="50">
        <v>13333.333333333334</v>
      </c>
      <c r="BF112" s="50">
        <v>320000</v>
      </c>
      <c r="BG112" s="50">
        <v>-0.46665777762962718</v>
      </c>
      <c r="BH112" s="50">
        <v>13333.333333333334</v>
      </c>
      <c r="BI112" s="50">
        <v>356000</v>
      </c>
      <c r="BJ112" s="50">
        <v>-0.40665677761296021</v>
      </c>
      <c r="BK112" s="50">
        <v>29666.666666666668</v>
      </c>
      <c r="BL112" s="50">
        <v>356000</v>
      </c>
      <c r="BM112" s="50">
        <v>-0.40665677761296021</v>
      </c>
      <c r="BN112" s="50">
        <v>356000</v>
      </c>
      <c r="BO112" s="50">
        <v>-0.40665677761296021</v>
      </c>
      <c r="BP112" s="50">
        <v>29666.666666666668</v>
      </c>
      <c r="BQ112" s="50">
        <v>599990</v>
      </c>
      <c r="BR112" s="50" t="s">
        <v>747</v>
      </c>
      <c r="BS112" s="50" t="s">
        <v>748</v>
      </c>
    </row>
    <row r="113" spans="1:71" ht="15.75" customHeight="1" x14ac:dyDescent="0.2">
      <c r="A113" s="25" t="s">
        <v>626</v>
      </c>
      <c r="B113" s="26" t="s">
        <v>627</v>
      </c>
      <c r="C113" s="27" t="s">
        <v>44</v>
      </c>
      <c r="D113" s="50">
        <v>384000</v>
      </c>
      <c r="E113" s="30">
        <f>+(D113-$P113)/$P113</f>
        <v>-0.35998933315555259</v>
      </c>
      <c r="F113" s="50">
        <f t="shared" si="10"/>
        <v>16000</v>
      </c>
      <c r="G113" s="50">
        <v>384000</v>
      </c>
      <c r="H113" s="30">
        <f>+(G113-$P113)/$P113</f>
        <v>-0.35998933315555259</v>
      </c>
      <c r="I113" s="50">
        <f t="shared" si="11"/>
        <v>16000</v>
      </c>
      <c r="J113" s="50">
        <v>384000</v>
      </c>
      <c r="K113" s="30">
        <f>+(J113-$P113)/$P113</f>
        <v>-0.35998933315555259</v>
      </c>
      <c r="L113" s="50">
        <f t="shared" si="12"/>
        <v>32000</v>
      </c>
      <c r="M113" s="50">
        <v>456000</v>
      </c>
      <c r="N113" s="30">
        <f t="shared" si="13"/>
        <v>-0.2399873331222187</v>
      </c>
      <c r="O113" s="50">
        <f t="shared" si="14"/>
        <v>38000</v>
      </c>
      <c r="P113" s="50">
        <v>599990</v>
      </c>
      <c r="Q113" t="s">
        <v>789</v>
      </c>
      <c r="R113" t="e">
        <f>VLOOKUP(B113,#REF!,1,0)</f>
        <v>#REF!</v>
      </c>
      <c r="S113" s="50">
        <v>326000</v>
      </c>
      <c r="T113" s="50">
        <v>-18100</v>
      </c>
      <c r="U113" s="50">
        <v>200</v>
      </c>
      <c r="V113" s="50">
        <v>326000</v>
      </c>
      <c r="W113" s="50">
        <v>-18100</v>
      </c>
      <c r="X113" s="50">
        <v>200</v>
      </c>
      <c r="Y113" s="50">
        <v>326000</v>
      </c>
      <c r="Z113" s="50">
        <v>-18100</v>
      </c>
      <c r="AA113" s="50">
        <v>200</v>
      </c>
      <c r="AB113" s="50">
        <v>0</v>
      </c>
      <c r="AC113" s="50">
        <v>0</v>
      </c>
      <c r="AD113" s="50">
        <v>0</v>
      </c>
      <c r="AE113" s="50">
        <v>0</v>
      </c>
      <c r="AF113" s="50">
        <v>0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0</v>
      </c>
      <c r="AM113" s="50">
        <v>0</v>
      </c>
      <c r="AN113" s="50">
        <v>0</v>
      </c>
      <c r="AO113" s="50">
        <v>0</v>
      </c>
      <c r="AP113" s="50">
        <v>0</v>
      </c>
      <c r="AQ113" s="50">
        <v>0</v>
      </c>
      <c r="AR113" s="50">
        <v>0</v>
      </c>
      <c r="AT113" s="50">
        <v>359990</v>
      </c>
      <c r="AU113" s="50">
        <v>11000</v>
      </c>
      <c r="AV113" s="50">
        <v>557990</v>
      </c>
      <c r="AW113" s="50">
        <v>359990</v>
      </c>
      <c r="AX113" s="50">
        <v>11000</v>
      </c>
      <c r="AY113" s="50">
        <v>557990</v>
      </c>
      <c r="AZ113" s="50">
        <v>359990</v>
      </c>
      <c r="BA113" s="50">
        <v>11000</v>
      </c>
      <c r="BB113" s="50">
        <v>557990</v>
      </c>
      <c r="BC113" s="50">
        <v>384000</v>
      </c>
      <c r="BD113" s="50">
        <v>-0.35998933315555259</v>
      </c>
      <c r="BE113" s="50">
        <v>16000</v>
      </c>
      <c r="BF113" s="50">
        <v>384000</v>
      </c>
      <c r="BG113" s="50">
        <v>-0.35998933315555259</v>
      </c>
      <c r="BH113" s="50">
        <v>16000</v>
      </c>
      <c r="BI113" s="50">
        <v>384000</v>
      </c>
      <c r="BJ113" s="50">
        <v>-0.35998933315555259</v>
      </c>
      <c r="BK113" s="50">
        <v>32000</v>
      </c>
      <c r="BL113" s="50">
        <v>456000</v>
      </c>
      <c r="BM113" s="50">
        <v>-0.2399873331222187</v>
      </c>
      <c r="BN113" s="50">
        <v>456000</v>
      </c>
      <c r="BO113" s="50">
        <v>-0.2399873331222187</v>
      </c>
      <c r="BP113" s="50">
        <v>38000</v>
      </c>
      <c r="BQ113" s="50">
        <v>599990</v>
      </c>
      <c r="BR113" s="50" t="s">
        <v>747</v>
      </c>
      <c r="BS113" s="50" t="s">
        <v>748</v>
      </c>
    </row>
    <row r="114" spans="1:71" ht="15.75" customHeight="1" x14ac:dyDescent="0.2">
      <c r="A114" s="25" t="s">
        <v>628</v>
      </c>
      <c r="B114" s="26" t="s">
        <v>629</v>
      </c>
      <c r="C114" s="27" t="s">
        <v>401</v>
      </c>
      <c r="D114" s="50">
        <v>487200</v>
      </c>
      <c r="E114" s="30">
        <f>+(D114-$P114)/$P114</f>
        <v>-0.22665439133954507</v>
      </c>
      <c r="F114" s="50">
        <f t="shared" si="10"/>
        <v>20300</v>
      </c>
      <c r="G114" s="50">
        <v>487200</v>
      </c>
      <c r="H114" s="30">
        <f>+(G114-$P114)/$P114</f>
        <v>-0.22665439133954507</v>
      </c>
      <c r="I114" s="50">
        <f t="shared" si="11"/>
        <v>20300</v>
      </c>
      <c r="J114" s="50">
        <v>607200</v>
      </c>
      <c r="K114" s="30">
        <f>+(J114-$P114)/$P114</f>
        <v>-3.6175177383767999E-2</v>
      </c>
      <c r="L114" s="50">
        <f t="shared" si="12"/>
        <v>50600</v>
      </c>
      <c r="M114" s="50">
        <v>607200</v>
      </c>
      <c r="N114" s="30">
        <f t="shared" si="13"/>
        <v>-3.6175177383767999E-2</v>
      </c>
      <c r="O114" s="50">
        <f t="shared" si="14"/>
        <v>50600</v>
      </c>
      <c r="P114" s="50">
        <v>629990</v>
      </c>
      <c r="Q114" t="s">
        <v>790</v>
      </c>
      <c r="R114" t="e">
        <f>VLOOKUP(B114,#REF!,1,0)</f>
        <v>#REF!</v>
      </c>
      <c r="S114" s="50">
        <v>-26000</v>
      </c>
      <c r="T114" s="50">
        <v>1500</v>
      </c>
      <c r="U114" s="50">
        <v>1000</v>
      </c>
      <c r="V114" s="50">
        <v>-26000</v>
      </c>
      <c r="W114" s="50">
        <v>1500</v>
      </c>
      <c r="X114" s="50">
        <v>1000</v>
      </c>
      <c r="Y114" s="50">
        <v>-26000</v>
      </c>
      <c r="Z114" s="50">
        <v>1500</v>
      </c>
      <c r="AA114" s="50">
        <v>1000</v>
      </c>
      <c r="AB114" s="50">
        <v>0</v>
      </c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>
        <v>96000</v>
      </c>
      <c r="AI114" s="50">
        <v>0.15238337116462167</v>
      </c>
      <c r="AJ114" s="50">
        <v>8000</v>
      </c>
      <c r="AK114" s="50">
        <v>96000</v>
      </c>
      <c r="AL114" s="50">
        <v>0.15238337116462167</v>
      </c>
      <c r="AM114" s="50">
        <v>96000</v>
      </c>
      <c r="AN114" s="50">
        <v>0.15238337116462167</v>
      </c>
      <c r="AO114" s="50">
        <v>8000</v>
      </c>
      <c r="AP114" s="50">
        <v>0</v>
      </c>
      <c r="AQ114" s="50">
        <v>0</v>
      </c>
      <c r="AR114" s="50">
        <v>0</v>
      </c>
      <c r="AT114" s="50">
        <v>279990</v>
      </c>
      <c r="AU114" s="50">
        <v>20500</v>
      </c>
      <c r="AV114" s="50">
        <v>648990</v>
      </c>
      <c r="AW114" s="50">
        <v>279990</v>
      </c>
      <c r="AX114" s="50">
        <v>20500</v>
      </c>
      <c r="AY114" s="50">
        <v>648990</v>
      </c>
      <c r="AZ114" s="50">
        <v>279990</v>
      </c>
      <c r="BA114" s="50">
        <v>20500</v>
      </c>
      <c r="BB114" s="50">
        <v>648990</v>
      </c>
      <c r="BC114" s="50">
        <v>487200</v>
      </c>
      <c r="BD114" s="50">
        <v>-0.22665439133954507</v>
      </c>
      <c r="BE114" s="50">
        <v>20300</v>
      </c>
      <c r="BF114" s="50">
        <v>487200</v>
      </c>
      <c r="BG114" s="50">
        <v>-0.22665439133954507</v>
      </c>
      <c r="BH114" s="50">
        <v>20300</v>
      </c>
      <c r="BI114" s="50">
        <v>511200</v>
      </c>
      <c r="BJ114" s="50">
        <v>-0.18855854854838966</v>
      </c>
      <c r="BK114" s="50">
        <v>42600</v>
      </c>
      <c r="BL114" s="50">
        <v>511200</v>
      </c>
      <c r="BM114" s="50">
        <v>-0.18855854854838966</v>
      </c>
      <c r="BN114" s="50">
        <v>511200</v>
      </c>
      <c r="BO114" s="50">
        <v>-0.18855854854838966</v>
      </c>
      <c r="BP114" s="50">
        <v>42600</v>
      </c>
      <c r="BQ114" s="50">
        <v>629990</v>
      </c>
      <c r="BR114" s="50" t="s">
        <v>747</v>
      </c>
      <c r="BS114" s="50" t="s">
        <v>748</v>
      </c>
    </row>
    <row r="115" spans="1:71" ht="15.75" customHeight="1" x14ac:dyDescent="0.2">
      <c r="A115" s="25" t="s">
        <v>630</v>
      </c>
      <c r="B115" s="26" t="s">
        <v>631</v>
      </c>
      <c r="C115" s="27" t="s">
        <v>401</v>
      </c>
      <c r="D115" s="50">
        <v>487200</v>
      </c>
      <c r="E115" s="30">
        <f>+(D115-$P115)/$P115</f>
        <v>-0.22665439133954507</v>
      </c>
      <c r="F115" s="50">
        <f t="shared" si="10"/>
        <v>20300</v>
      </c>
      <c r="G115" s="50">
        <v>487200</v>
      </c>
      <c r="H115" s="30">
        <f>+(G115-$P115)/$P115</f>
        <v>-0.22665439133954507</v>
      </c>
      <c r="I115" s="50">
        <f t="shared" si="11"/>
        <v>20300</v>
      </c>
      <c r="J115" s="50">
        <v>607200</v>
      </c>
      <c r="K115" s="30">
        <f>+(J115-$P115)/$P115</f>
        <v>-3.6175177383767999E-2</v>
      </c>
      <c r="L115" s="50">
        <f t="shared" si="12"/>
        <v>50600</v>
      </c>
      <c r="M115" s="50">
        <v>607200</v>
      </c>
      <c r="N115" s="30">
        <f t="shared" si="13"/>
        <v>-3.6175177383767999E-2</v>
      </c>
      <c r="O115" s="50">
        <f t="shared" si="14"/>
        <v>50600</v>
      </c>
      <c r="P115" s="50">
        <v>629990</v>
      </c>
      <c r="Q115" t="s">
        <v>790</v>
      </c>
      <c r="R115" t="e">
        <f>VLOOKUP(B115,#REF!,1,0)</f>
        <v>#REF!</v>
      </c>
      <c r="S115" s="50">
        <v>-26000</v>
      </c>
      <c r="T115" s="50">
        <v>1500</v>
      </c>
      <c r="U115" s="50">
        <v>1000</v>
      </c>
      <c r="V115" s="50">
        <v>-26000</v>
      </c>
      <c r="W115" s="50">
        <v>1500</v>
      </c>
      <c r="X115" s="50">
        <v>1000</v>
      </c>
      <c r="Y115" s="50">
        <v>-26000</v>
      </c>
      <c r="Z115" s="50">
        <v>1500</v>
      </c>
      <c r="AA115" s="50">
        <v>1000</v>
      </c>
      <c r="AB115" s="50">
        <v>0</v>
      </c>
      <c r="AC115" s="50">
        <v>0</v>
      </c>
      <c r="AD115" s="50">
        <v>0</v>
      </c>
      <c r="AE115" s="50">
        <v>0</v>
      </c>
      <c r="AF115" s="50">
        <v>0</v>
      </c>
      <c r="AG115" s="50">
        <v>0</v>
      </c>
      <c r="AH115" s="50">
        <v>96000</v>
      </c>
      <c r="AI115" s="50">
        <v>0.15238337116462167</v>
      </c>
      <c r="AJ115" s="50">
        <v>8000</v>
      </c>
      <c r="AK115" s="50">
        <v>96000</v>
      </c>
      <c r="AL115" s="50">
        <v>0.15238337116462167</v>
      </c>
      <c r="AM115" s="50">
        <v>96000</v>
      </c>
      <c r="AN115" s="50">
        <v>0.15238337116462167</v>
      </c>
      <c r="AO115" s="50">
        <v>8000</v>
      </c>
      <c r="AP115" s="50">
        <v>0</v>
      </c>
      <c r="AQ115" s="50">
        <v>0</v>
      </c>
      <c r="AR115" s="50">
        <v>0</v>
      </c>
      <c r="AT115" s="50">
        <v>279990</v>
      </c>
      <c r="AU115" s="50">
        <v>20500</v>
      </c>
      <c r="AV115" s="50">
        <v>648990</v>
      </c>
      <c r="AW115" s="50">
        <v>279990</v>
      </c>
      <c r="AX115" s="50">
        <v>20500</v>
      </c>
      <c r="AY115" s="50">
        <v>648990</v>
      </c>
      <c r="AZ115" s="50">
        <v>279990</v>
      </c>
      <c r="BA115" s="50">
        <v>20500</v>
      </c>
      <c r="BB115" s="50">
        <v>648990</v>
      </c>
      <c r="BC115" s="50">
        <v>487200</v>
      </c>
      <c r="BD115" s="50">
        <v>-0.22665439133954507</v>
      </c>
      <c r="BE115" s="50">
        <v>20300</v>
      </c>
      <c r="BF115" s="50">
        <v>487200</v>
      </c>
      <c r="BG115" s="50">
        <v>-0.22665439133954507</v>
      </c>
      <c r="BH115" s="50">
        <v>20300</v>
      </c>
      <c r="BI115" s="50">
        <v>511200</v>
      </c>
      <c r="BJ115" s="50">
        <v>-0.18855854854838966</v>
      </c>
      <c r="BK115" s="50">
        <v>42600</v>
      </c>
      <c r="BL115" s="50">
        <v>511200</v>
      </c>
      <c r="BM115" s="50">
        <v>-0.18855854854838966</v>
      </c>
      <c r="BN115" s="50">
        <v>511200</v>
      </c>
      <c r="BO115" s="50">
        <v>-0.18855854854838966</v>
      </c>
      <c r="BP115" s="50">
        <v>42600</v>
      </c>
      <c r="BQ115" s="50">
        <v>629990</v>
      </c>
      <c r="BR115" s="50" t="s">
        <v>747</v>
      </c>
      <c r="BS115" s="50" t="s">
        <v>748</v>
      </c>
    </row>
    <row r="116" spans="1:71" ht="15.75" customHeight="1" x14ac:dyDescent="0.2">
      <c r="A116" s="25" t="s">
        <v>632</v>
      </c>
      <c r="B116" s="26" t="s">
        <v>633</v>
      </c>
      <c r="C116" s="27" t="s">
        <v>401</v>
      </c>
      <c r="D116" s="50">
        <v>487200</v>
      </c>
      <c r="E116" s="30">
        <f>+(D116-$P116)/$P116</f>
        <v>-0.22665439133954507</v>
      </c>
      <c r="F116" s="50">
        <f t="shared" si="10"/>
        <v>20300</v>
      </c>
      <c r="G116" s="50">
        <v>487200</v>
      </c>
      <c r="H116" s="30">
        <f>+(G116-$P116)/$P116</f>
        <v>-0.22665439133954507</v>
      </c>
      <c r="I116" s="50">
        <f t="shared" si="11"/>
        <v>20300</v>
      </c>
      <c r="J116" s="50">
        <v>607200</v>
      </c>
      <c r="K116" s="30">
        <f>+(J116-$P116)/$P116</f>
        <v>-3.6175177383767999E-2</v>
      </c>
      <c r="L116" s="50">
        <f t="shared" si="12"/>
        <v>50600</v>
      </c>
      <c r="M116" s="50">
        <v>607200</v>
      </c>
      <c r="N116" s="30">
        <f t="shared" si="13"/>
        <v>-3.6175177383767999E-2</v>
      </c>
      <c r="O116" s="50">
        <f t="shared" si="14"/>
        <v>50600</v>
      </c>
      <c r="P116" s="50">
        <v>629990</v>
      </c>
      <c r="Q116" t="s">
        <v>790</v>
      </c>
      <c r="R116" t="e">
        <f>VLOOKUP(B116,#REF!,1,0)</f>
        <v>#REF!</v>
      </c>
      <c r="S116" s="50">
        <v>-26000</v>
      </c>
      <c r="T116" s="50">
        <v>1500</v>
      </c>
      <c r="U116" s="50">
        <v>1000</v>
      </c>
      <c r="V116" s="50">
        <v>-26000</v>
      </c>
      <c r="W116" s="50">
        <v>1500</v>
      </c>
      <c r="X116" s="50">
        <v>1000</v>
      </c>
      <c r="Y116" s="50">
        <v>-26000</v>
      </c>
      <c r="Z116" s="50">
        <v>1500</v>
      </c>
      <c r="AA116" s="50">
        <v>1000</v>
      </c>
      <c r="AB116" s="50">
        <v>0</v>
      </c>
      <c r="AC116" s="50">
        <v>0</v>
      </c>
      <c r="AD116" s="50">
        <v>0</v>
      </c>
      <c r="AE116" s="50">
        <v>0</v>
      </c>
      <c r="AF116" s="50">
        <v>0</v>
      </c>
      <c r="AG116" s="50">
        <v>0</v>
      </c>
      <c r="AH116" s="50">
        <v>96000</v>
      </c>
      <c r="AI116" s="50">
        <v>0.15238337116462167</v>
      </c>
      <c r="AJ116" s="50">
        <v>8000</v>
      </c>
      <c r="AK116" s="50">
        <v>96000</v>
      </c>
      <c r="AL116" s="50">
        <v>0.15238337116462167</v>
      </c>
      <c r="AM116" s="50">
        <v>96000</v>
      </c>
      <c r="AN116" s="50">
        <v>0.15238337116462167</v>
      </c>
      <c r="AO116" s="50">
        <v>8000</v>
      </c>
      <c r="AP116" s="50">
        <v>0</v>
      </c>
      <c r="AQ116" s="50">
        <v>0</v>
      </c>
      <c r="AR116" s="50">
        <v>0</v>
      </c>
      <c r="AT116" s="50">
        <v>279990</v>
      </c>
      <c r="AU116" s="50">
        <v>20500</v>
      </c>
      <c r="AV116" s="50">
        <v>648990</v>
      </c>
      <c r="AW116" s="50">
        <v>279990</v>
      </c>
      <c r="AX116" s="50">
        <v>20500</v>
      </c>
      <c r="AY116" s="50">
        <v>648990</v>
      </c>
      <c r="AZ116" s="50">
        <v>279990</v>
      </c>
      <c r="BA116" s="50">
        <v>20500</v>
      </c>
      <c r="BB116" s="50">
        <v>648990</v>
      </c>
      <c r="BC116" s="50">
        <v>487200</v>
      </c>
      <c r="BD116" s="50">
        <v>-0.22665439133954507</v>
      </c>
      <c r="BE116" s="50">
        <v>20300</v>
      </c>
      <c r="BF116" s="50">
        <v>487200</v>
      </c>
      <c r="BG116" s="50">
        <v>-0.22665439133954507</v>
      </c>
      <c r="BH116" s="50">
        <v>20300</v>
      </c>
      <c r="BI116" s="50">
        <v>511200</v>
      </c>
      <c r="BJ116" s="50">
        <v>-0.18855854854838966</v>
      </c>
      <c r="BK116" s="50">
        <v>42600</v>
      </c>
      <c r="BL116" s="50">
        <v>511200</v>
      </c>
      <c r="BM116" s="50">
        <v>-0.18855854854838966</v>
      </c>
      <c r="BN116" s="50">
        <v>511200</v>
      </c>
      <c r="BO116" s="50">
        <v>-0.18855854854838966</v>
      </c>
      <c r="BP116" s="50">
        <v>42600</v>
      </c>
      <c r="BQ116" s="50">
        <v>629990</v>
      </c>
      <c r="BR116" s="50" t="s">
        <v>747</v>
      </c>
      <c r="BS116" s="50" t="s">
        <v>748</v>
      </c>
    </row>
    <row r="117" spans="1:71" ht="15.75" customHeight="1" x14ac:dyDescent="0.2">
      <c r="A117" s="25" t="s">
        <v>634</v>
      </c>
      <c r="B117" s="26" t="s">
        <v>635</v>
      </c>
      <c r="C117" s="27" t="s">
        <v>401</v>
      </c>
      <c r="D117" s="50">
        <v>556800</v>
      </c>
      <c r="E117" s="30">
        <f>+(D117-$P117)/$P117</f>
        <v>-0.20456006514378777</v>
      </c>
      <c r="F117" s="50">
        <f t="shared" si="10"/>
        <v>23200</v>
      </c>
      <c r="G117" s="50">
        <v>556800</v>
      </c>
      <c r="H117" s="30">
        <f>+(G117-$P117)/$P117</f>
        <v>-0.20456006514378777</v>
      </c>
      <c r="I117" s="50">
        <f t="shared" si="11"/>
        <v>23200</v>
      </c>
      <c r="J117" s="50">
        <v>556800</v>
      </c>
      <c r="K117" s="30">
        <f>+(J117-$P117)/$P117</f>
        <v>-0.20456006514378777</v>
      </c>
      <c r="L117" s="50">
        <f t="shared" si="12"/>
        <v>46400</v>
      </c>
      <c r="M117" s="50">
        <v>676800</v>
      </c>
      <c r="N117" s="30">
        <f t="shared" si="13"/>
        <v>-3.3129044700638578E-2</v>
      </c>
      <c r="O117" s="50">
        <f t="shared" si="14"/>
        <v>56400</v>
      </c>
      <c r="P117" s="50">
        <v>699990</v>
      </c>
      <c r="Q117" t="s">
        <v>791</v>
      </c>
      <c r="R117" t="e">
        <f>VLOOKUP(B117,#REF!,1,0)</f>
        <v>#REF!</v>
      </c>
      <c r="S117" s="50">
        <v>116000</v>
      </c>
      <c r="T117" s="50">
        <v>1900</v>
      </c>
      <c r="U117" s="50">
        <v>150200</v>
      </c>
      <c r="V117" s="50">
        <v>-34000</v>
      </c>
      <c r="W117" s="50">
        <v>1900</v>
      </c>
      <c r="X117" s="50">
        <v>200</v>
      </c>
      <c r="Y117" s="50">
        <v>-34000</v>
      </c>
      <c r="Z117" s="50">
        <v>1900</v>
      </c>
      <c r="AA117" s="50">
        <v>200</v>
      </c>
      <c r="AB117" s="50">
        <v>0</v>
      </c>
      <c r="AC117" s="50">
        <v>0</v>
      </c>
      <c r="AD117" s="50">
        <v>0</v>
      </c>
      <c r="AE117" s="50">
        <v>0</v>
      </c>
      <c r="AF117" s="50">
        <v>0</v>
      </c>
      <c r="AG117" s="50">
        <v>0</v>
      </c>
      <c r="AH117" s="50">
        <v>0</v>
      </c>
      <c r="AI117" s="50">
        <v>0</v>
      </c>
      <c r="AJ117" s="50">
        <v>0</v>
      </c>
      <c r="AK117" s="50">
        <v>96000</v>
      </c>
      <c r="AL117" s="50">
        <v>0.13714481635451936</v>
      </c>
      <c r="AM117" s="50">
        <v>96000</v>
      </c>
      <c r="AN117" s="50">
        <v>0.13714481635451936</v>
      </c>
      <c r="AO117" s="50">
        <v>8000</v>
      </c>
      <c r="AP117" s="50">
        <v>0</v>
      </c>
      <c r="AQ117" s="50">
        <v>0</v>
      </c>
      <c r="AR117" s="50">
        <v>0</v>
      </c>
      <c r="AT117" s="50">
        <v>509990</v>
      </c>
      <c r="AU117" s="50">
        <v>26200</v>
      </c>
      <c r="AV117" s="50">
        <v>981590</v>
      </c>
      <c r="AW117" s="50">
        <v>359990</v>
      </c>
      <c r="AX117" s="50">
        <v>26200</v>
      </c>
      <c r="AY117" s="50">
        <v>831590</v>
      </c>
      <c r="AZ117" s="50">
        <v>359990</v>
      </c>
      <c r="BA117" s="50">
        <v>26200</v>
      </c>
      <c r="BB117" s="50">
        <v>831590</v>
      </c>
      <c r="BC117" s="50">
        <v>556800</v>
      </c>
      <c r="BD117" s="50">
        <v>-0.20456006514378777</v>
      </c>
      <c r="BE117" s="50">
        <v>23200</v>
      </c>
      <c r="BF117" s="50">
        <v>556800</v>
      </c>
      <c r="BG117" s="50">
        <v>-0.20456006514378777</v>
      </c>
      <c r="BH117" s="50">
        <v>23200</v>
      </c>
      <c r="BI117" s="50">
        <v>556800</v>
      </c>
      <c r="BJ117" s="50">
        <v>-0.20456006514378777</v>
      </c>
      <c r="BK117" s="50">
        <v>46400</v>
      </c>
      <c r="BL117" s="50">
        <v>580800</v>
      </c>
      <c r="BM117" s="50">
        <v>-0.17027386105515793</v>
      </c>
      <c r="BN117" s="50">
        <v>580800</v>
      </c>
      <c r="BO117" s="50">
        <v>-0.17027386105515793</v>
      </c>
      <c r="BP117" s="50">
        <v>48400</v>
      </c>
      <c r="BQ117" s="50">
        <v>699990</v>
      </c>
      <c r="BR117" s="50" t="s">
        <v>747</v>
      </c>
      <c r="BS117" s="50" t="s">
        <v>748</v>
      </c>
    </row>
    <row r="118" spans="1:71" ht="15.75" customHeight="1" x14ac:dyDescent="0.2">
      <c r="A118" s="25" t="s">
        <v>636</v>
      </c>
      <c r="B118" s="26" t="s">
        <v>637</v>
      </c>
      <c r="C118" s="27" t="s">
        <v>401</v>
      </c>
      <c r="D118" s="50">
        <v>556800</v>
      </c>
      <c r="E118" s="30">
        <f>+(D118-$P118)/$P118</f>
        <v>-0.20456006514378777</v>
      </c>
      <c r="F118" s="50">
        <f t="shared" si="10"/>
        <v>23200</v>
      </c>
      <c r="G118" s="50">
        <v>556800</v>
      </c>
      <c r="H118" s="30">
        <f>+(G118-$P118)/$P118</f>
        <v>-0.20456006514378777</v>
      </c>
      <c r="I118" s="50">
        <f t="shared" si="11"/>
        <v>23200</v>
      </c>
      <c r="J118" s="50">
        <v>556800</v>
      </c>
      <c r="K118" s="30">
        <f>+(J118-$P118)/$P118</f>
        <v>-0.20456006514378777</v>
      </c>
      <c r="L118" s="50">
        <f t="shared" si="12"/>
        <v>46400</v>
      </c>
      <c r="M118" s="50">
        <v>676800</v>
      </c>
      <c r="N118" s="30">
        <f t="shared" si="13"/>
        <v>-3.3129044700638578E-2</v>
      </c>
      <c r="O118" s="50">
        <f t="shared" si="14"/>
        <v>56400</v>
      </c>
      <c r="P118" s="50">
        <v>699990</v>
      </c>
      <c r="Q118" t="s">
        <v>791</v>
      </c>
      <c r="R118" t="e">
        <f>VLOOKUP(B118,#REF!,1,0)</f>
        <v>#REF!</v>
      </c>
      <c r="S118" s="50">
        <v>116000</v>
      </c>
      <c r="T118" s="50">
        <v>1900</v>
      </c>
      <c r="U118" s="50">
        <v>150200</v>
      </c>
      <c r="V118" s="50">
        <v>-34000</v>
      </c>
      <c r="W118" s="50">
        <v>1900</v>
      </c>
      <c r="X118" s="50">
        <v>200</v>
      </c>
      <c r="Y118" s="50">
        <v>-34000</v>
      </c>
      <c r="Z118" s="50">
        <v>1900</v>
      </c>
      <c r="AA118" s="50">
        <v>200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96000</v>
      </c>
      <c r="AL118" s="50">
        <v>0.13714481635451936</v>
      </c>
      <c r="AM118" s="50">
        <v>96000</v>
      </c>
      <c r="AN118" s="50">
        <v>0.13714481635451936</v>
      </c>
      <c r="AO118" s="50">
        <v>8000</v>
      </c>
      <c r="AP118" s="50">
        <v>0</v>
      </c>
      <c r="AQ118" s="50">
        <v>0</v>
      </c>
      <c r="AR118" s="50">
        <v>0</v>
      </c>
      <c r="AT118" s="50">
        <v>509990</v>
      </c>
      <c r="AU118" s="50">
        <v>26200</v>
      </c>
      <c r="AV118" s="50">
        <v>981590</v>
      </c>
      <c r="AW118" s="50">
        <v>359990</v>
      </c>
      <c r="AX118" s="50">
        <v>26200</v>
      </c>
      <c r="AY118" s="50">
        <v>831590</v>
      </c>
      <c r="AZ118" s="50">
        <v>359990</v>
      </c>
      <c r="BA118" s="50">
        <v>26200</v>
      </c>
      <c r="BB118" s="50">
        <v>831590</v>
      </c>
      <c r="BC118" s="50">
        <v>556800</v>
      </c>
      <c r="BD118" s="50">
        <v>-0.20456006514378777</v>
      </c>
      <c r="BE118" s="50">
        <v>23200</v>
      </c>
      <c r="BF118" s="50">
        <v>556800</v>
      </c>
      <c r="BG118" s="50">
        <v>-0.20456006514378777</v>
      </c>
      <c r="BH118" s="50">
        <v>23200</v>
      </c>
      <c r="BI118" s="50">
        <v>556800</v>
      </c>
      <c r="BJ118" s="50">
        <v>-0.20456006514378777</v>
      </c>
      <c r="BK118" s="50">
        <v>46400</v>
      </c>
      <c r="BL118" s="50">
        <v>580800</v>
      </c>
      <c r="BM118" s="50">
        <v>-0.17027386105515793</v>
      </c>
      <c r="BN118" s="50">
        <v>580800</v>
      </c>
      <c r="BO118" s="50">
        <v>-0.17027386105515793</v>
      </c>
      <c r="BP118" s="50">
        <v>48400</v>
      </c>
      <c r="BQ118" s="50">
        <v>699990</v>
      </c>
      <c r="BR118" s="50" t="s">
        <v>747</v>
      </c>
      <c r="BS118" s="50" t="s">
        <v>748</v>
      </c>
    </row>
    <row r="119" spans="1:71" ht="15.75" customHeight="1" x14ac:dyDescent="0.2">
      <c r="A119" s="25" t="s">
        <v>638</v>
      </c>
      <c r="B119" s="26" t="s">
        <v>639</v>
      </c>
      <c r="C119" s="27" t="s">
        <v>44</v>
      </c>
      <c r="D119" s="50">
        <v>480000</v>
      </c>
      <c r="E119" s="30">
        <f>+(D119-$P119)/$P119</f>
        <v>-0.39999249990624886</v>
      </c>
      <c r="F119" s="50">
        <f t="shared" si="10"/>
        <v>20000</v>
      </c>
      <c r="G119" s="50">
        <v>480000</v>
      </c>
      <c r="H119" s="30">
        <f>+(G119-$P119)/$P119</f>
        <v>-0.39999249990624886</v>
      </c>
      <c r="I119" s="50">
        <f t="shared" si="11"/>
        <v>20000</v>
      </c>
      <c r="J119" s="50">
        <v>480000</v>
      </c>
      <c r="K119" s="30">
        <f>+(J119-$P119)/$P119</f>
        <v>-0.39999249990624886</v>
      </c>
      <c r="L119" s="50">
        <f t="shared" si="12"/>
        <v>40000</v>
      </c>
      <c r="M119" s="50">
        <v>504000</v>
      </c>
      <c r="N119" s="30">
        <f t="shared" si="13"/>
        <v>-0.36999212490156125</v>
      </c>
      <c r="O119" s="50">
        <f t="shared" si="14"/>
        <v>42000</v>
      </c>
      <c r="P119" s="50">
        <v>799990</v>
      </c>
      <c r="Q119" t="s">
        <v>792</v>
      </c>
      <c r="R119" t="e">
        <f>VLOOKUP(B119,#REF!,1,0)</f>
        <v>#REF!</v>
      </c>
      <c r="S119" s="50">
        <v>39000</v>
      </c>
      <c r="T119" s="50">
        <v>6200</v>
      </c>
      <c r="U119" s="50">
        <v>150600</v>
      </c>
      <c r="V119" s="50">
        <v>-111000</v>
      </c>
      <c r="W119" s="50">
        <v>6200</v>
      </c>
      <c r="X119" s="50">
        <v>600</v>
      </c>
      <c r="Y119" s="50">
        <v>-111000</v>
      </c>
      <c r="Z119" s="50">
        <v>6200</v>
      </c>
      <c r="AA119" s="50">
        <v>600</v>
      </c>
      <c r="AB119" s="50">
        <v>0</v>
      </c>
      <c r="AC119" s="50">
        <v>0</v>
      </c>
      <c r="AD119" s="50">
        <v>0</v>
      </c>
      <c r="AE119" s="50">
        <v>0</v>
      </c>
      <c r="AF119" s="50">
        <v>0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0</v>
      </c>
      <c r="AM119" s="50">
        <v>0</v>
      </c>
      <c r="AN119" s="50">
        <v>0</v>
      </c>
      <c r="AO119" s="50">
        <v>0</v>
      </c>
      <c r="AP119" s="50">
        <v>0</v>
      </c>
      <c r="AQ119" s="50">
        <v>0</v>
      </c>
      <c r="AR119" s="50">
        <v>0</v>
      </c>
      <c r="AT119" s="50">
        <v>349990</v>
      </c>
      <c r="AU119" s="50">
        <v>26000</v>
      </c>
      <c r="AV119" s="50">
        <v>817990</v>
      </c>
      <c r="AW119" s="50">
        <v>199990</v>
      </c>
      <c r="AX119" s="50">
        <v>26000</v>
      </c>
      <c r="AY119" s="50">
        <v>667990</v>
      </c>
      <c r="AZ119" s="50">
        <v>199990</v>
      </c>
      <c r="BA119" s="50">
        <v>26000</v>
      </c>
      <c r="BB119" s="50">
        <v>667990</v>
      </c>
      <c r="BC119" s="50">
        <v>480000</v>
      </c>
      <c r="BD119" s="50">
        <v>-0.39999249990624886</v>
      </c>
      <c r="BE119" s="50">
        <v>20000</v>
      </c>
      <c r="BF119" s="50">
        <v>480000</v>
      </c>
      <c r="BG119" s="50">
        <v>-0.39999249990624886</v>
      </c>
      <c r="BH119" s="50">
        <v>20000</v>
      </c>
      <c r="BI119" s="50">
        <v>480000</v>
      </c>
      <c r="BJ119" s="50">
        <v>-0.39999249990624886</v>
      </c>
      <c r="BK119" s="50">
        <v>40000</v>
      </c>
      <c r="BL119" s="50">
        <v>504000</v>
      </c>
      <c r="BM119" s="50">
        <v>-0.36999212490156125</v>
      </c>
      <c r="BN119" s="50">
        <v>504000</v>
      </c>
      <c r="BO119" s="50">
        <v>-0.36999212490156125</v>
      </c>
      <c r="BP119" s="50">
        <v>42000</v>
      </c>
      <c r="BQ119" s="50">
        <v>799990</v>
      </c>
      <c r="BR119" s="50" t="s">
        <v>747</v>
      </c>
      <c r="BS119" s="50" t="s">
        <v>748</v>
      </c>
    </row>
    <row r="120" spans="1:71" ht="15.75" customHeight="1" x14ac:dyDescent="0.2">
      <c r="A120" s="25" t="s">
        <v>640</v>
      </c>
      <c r="B120" s="26" t="s">
        <v>641</v>
      </c>
      <c r="C120" s="27" t="s">
        <v>401</v>
      </c>
      <c r="D120" s="50">
        <v>528000</v>
      </c>
      <c r="E120" s="30">
        <f>+(D120-$P120)/$P120</f>
        <v>-0.3399917498968737</v>
      </c>
      <c r="F120" s="50">
        <f t="shared" si="10"/>
        <v>22000</v>
      </c>
      <c r="G120" s="50">
        <v>528000</v>
      </c>
      <c r="H120" s="30">
        <f>+(G120-$P120)/$P120</f>
        <v>-0.3399917498968737</v>
      </c>
      <c r="I120" s="50">
        <f t="shared" si="11"/>
        <v>22000</v>
      </c>
      <c r="J120" s="50">
        <v>528000</v>
      </c>
      <c r="K120" s="30">
        <f>+(J120-$P120)/$P120</f>
        <v>-0.3399917498968737</v>
      </c>
      <c r="L120" s="50">
        <f t="shared" si="12"/>
        <v>44000</v>
      </c>
      <c r="M120" s="50">
        <v>648000</v>
      </c>
      <c r="N120" s="30">
        <f t="shared" si="13"/>
        <v>-0.18998987487343591</v>
      </c>
      <c r="O120" s="50">
        <f t="shared" si="14"/>
        <v>54000</v>
      </c>
      <c r="P120" s="50">
        <v>799990</v>
      </c>
      <c r="Q120" t="s">
        <v>793</v>
      </c>
      <c r="R120" t="e">
        <f>VLOOKUP(B120,#REF!,1,0)</f>
        <v>#REF!</v>
      </c>
      <c r="S120" s="50">
        <v>-30000</v>
      </c>
      <c r="T120" s="50">
        <v>1500</v>
      </c>
      <c r="U120" s="50">
        <v>-3000</v>
      </c>
      <c r="V120" s="50">
        <v>-40000</v>
      </c>
      <c r="W120" s="50">
        <v>1500</v>
      </c>
      <c r="X120" s="50">
        <v>-13000</v>
      </c>
      <c r="Y120" s="50">
        <v>-40000</v>
      </c>
      <c r="Z120" s="50">
        <v>1500</v>
      </c>
      <c r="AA120" s="50">
        <v>-13000</v>
      </c>
      <c r="AB120" s="50">
        <v>0</v>
      </c>
      <c r="AC120" s="50">
        <v>0</v>
      </c>
      <c r="AD120" s="50">
        <v>0</v>
      </c>
      <c r="AE120" s="50">
        <v>0</v>
      </c>
      <c r="AF120" s="50">
        <v>0</v>
      </c>
      <c r="AG120" s="50">
        <v>0</v>
      </c>
      <c r="AH120" s="50">
        <v>0</v>
      </c>
      <c r="AI120" s="50">
        <v>0</v>
      </c>
      <c r="AJ120" s="50">
        <v>0</v>
      </c>
      <c r="AK120" s="50">
        <v>96000</v>
      </c>
      <c r="AL120" s="50">
        <v>0.12000150001875023</v>
      </c>
      <c r="AM120" s="50">
        <v>96000</v>
      </c>
      <c r="AN120" s="50">
        <v>0.12000150001875023</v>
      </c>
      <c r="AO120" s="50">
        <v>8000</v>
      </c>
      <c r="AP120" s="50">
        <v>0</v>
      </c>
      <c r="AQ120" s="50">
        <v>0</v>
      </c>
      <c r="AR120" s="50">
        <v>0</v>
      </c>
      <c r="AT120" s="50">
        <v>349990</v>
      </c>
      <c r="AU120" s="50">
        <v>24700</v>
      </c>
      <c r="AV120" s="50">
        <v>794590</v>
      </c>
      <c r="AW120" s="50">
        <v>339990</v>
      </c>
      <c r="AX120" s="50">
        <v>24700</v>
      </c>
      <c r="AY120" s="50">
        <v>784590</v>
      </c>
      <c r="AZ120" s="50">
        <v>339990</v>
      </c>
      <c r="BA120" s="50">
        <v>24700</v>
      </c>
      <c r="BB120" s="50">
        <v>784590</v>
      </c>
      <c r="BC120" s="50">
        <v>528000</v>
      </c>
      <c r="BD120" s="50">
        <v>-0.3399917498968737</v>
      </c>
      <c r="BE120" s="50">
        <v>22000</v>
      </c>
      <c r="BF120" s="50">
        <v>528000</v>
      </c>
      <c r="BG120" s="50">
        <v>-0.3399917498968737</v>
      </c>
      <c r="BH120" s="50">
        <v>22000</v>
      </c>
      <c r="BI120" s="50">
        <v>528000</v>
      </c>
      <c r="BJ120" s="50">
        <v>-0.3399917498968737</v>
      </c>
      <c r="BK120" s="50">
        <v>44000</v>
      </c>
      <c r="BL120" s="50">
        <v>552000</v>
      </c>
      <c r="BM120" s="50">
        <v>-0.30999137489218614</v>
      </c>
      <c r="BN120" s="50">
        <v>552000</v>
      </c>
      <c r="BO120" s="50">
        <v>-0.30999137489218614</v>
      </c>
      <c r="BP120" s="50">
        <v>46000</v>
      </c>
      <c r="BQ120" s="50">
        <v>799990</v>
      </c>
      <c r="BR120" s="50" t="s">
        <v>747</v>
      </c>
      <c r="BS120" s="50" t="s">
        <v>748</v>
      </c>
    </row>
    <row r="121" spans="1:71" ht="15.75" customHeight="1" x14ac:dyDescent="0.2">
      <c r="A121" s="25" t="s">
        <v>642</v>
      </c>
      <c r="B121" s="26" t="s">
        <v>643</v>
      </c>
      <c r="C121" s="27" t="s">
        <v>401</v>
      </c>
      <c r="D121" s="50">
        <v>357600</v>
      </c>
      <c r="E121" s="30">
        <f>+(D121-$P121)/$P121</f>
        <v>-0.55299441243015535</v>
      </c>
      <c r="F121" s="50">
        <f t="shared" ref="F121:F176" si="15">D121/24</f>
        <v>14900</v>
      </c>
      <c r="G121" s="50">
        <v>357600</v>
      </c>
      <c r="H121" s="30">
        <f>+(G121-$P121)/$P121</f>
        <v>-0.55299441243015535</v>
      </c>
      <c r="I121" s="50">
        <f t="shared" ref="I121:I176" si="16">G121/24</f>
        <v>14900</v>
      </c>
      <c r="J121" s="50">
        <v>357600</v>
      </c>
      <c r="K121" s="30">
        <f>+(J121-$P121)/$P121</f>
        <v>-0.55299441243015535</v>
      </c>
      <c r="L121" s="50">
        <f t="shared" ref="L121:L176" si="17">J121/12</f>
        <v>29800</v>
      </c>
      <c r="M121" s="50">
        <v>477600</v>
      </c>
      <c r="N121" s="30">
        <f t="shared" ref="N121:N176" si="18">+(M121-$P121)/$P121</f>
        <v>-0.40299253740671759</v>
      </c>
      <c r="O121" s="50">
        <f t="shared" ref="O121:O176" si="19">M121/12</f>
        <v>39800</v>
      </c>
      <c r="P121" s="50">
        <v>799990</v>
      </c>
      <c r="Q121" t="s">
        <v>794</v>
      </c>
      <c r="R121" t="e">
        <f>VLOOKUP(B121,#REF!,1,0)</f>
        <v>#REF!</v>
      </c>
      <c r="S121" s="50">
        <v>-83000</v>
      </c>
      <c r="T121" s="50">
        <v>900</v>
      </c>
      <c r="U121" s="50">
        <v>-66800</v>
      </c>
      <c r="V121" s="50">
        <v>-83000</v>
      </c>
      <c r="W121" s="50">
        <v>900</v>
      </c>
      <c r="X121" s="50">
        <v>-66800</v>
      </c>
      <c r="Y121" s="50">
        <v>-83000</v>
      </c>
      <c r="Z121" s="50">
        <v>900</v>
      </c>
      <c r="AA121" s="50">
        <v>-66800</v>
      </c>
      <c r="AB121" s="50">
        <v>-81600</v>
      </c>
      <c r="AC121" s="50">
        <v>-0.10200127501593764</v>
      </c>
      <c r="AD121" s="50">
        <v>-3400</v>
      </c>
      <c r="AE121" s="50">
        <v>-81600</v>
      </c>
      <c r="AF121" s="50">
        <v>-0.10200127501593764</v>
      </c>
      <c r="AG121" s="50">
        <v>-3400</v>
      </c>
      <c r="AH121" s="50">
        <v>-81600</v>
      </c>
      <c r="AI121" s="50">
        <v>-0.10200127501593764</v>
      </c>
      <c r="AJ121" s="50">
        <v>-6800</v>
      </c>
      <c r="AK121" s="50">
        <v>-9600</v>
      </c>
      <c r="AL121" s="50">
        <v>-1.2000150001875043E-2</v>
      </c>
      <c r="AM121" s="50">
        <v>-9600</v>
      </c>
      <c r="AN121" s="50">
        <v>-1.2000150001875043E-2</v>
      </c>
      <c r="AO121" s="50">
        <v>-800</v>
      </c>
      <c r="AP121" s="50">
        <v>0</v>
      </c>
      <c r="AQ121" s="50">
        <v>0</v>
      </c>
      <c r="AR121" s="50">
        <v>0</v>
      </c>
      <c r="AT121" s="50">
        <v>239990</v>
      </c>
      <c r="AU121" s="50">
        <v>20200</v>
      </c>
      <c r="AV121" s="50">
        <v>603590</v>
      </c>
      <c r="AW121" s="50">
        <v>239990</v>
      </c>
      <c r="AX121" s="50">
        <v>20200</v>
      </c>
      <c r="AY121" s="50">
        <v>603590</v>
      </c>
      <c r="AZ121" s="50">
        <v>239990</v>
      </c>
      <c r="BA121" s="50">
        <v>20200</v>
      </c>
      <c r="BB121" s="50">
        <v>603590</v>
      </c>
      <c r="BC121" s="50">
        <v>439200</v>
      </c>
      <c r="BD121" s="50">
        <v>-0.4509931374142177</v>
      </c>
      <c r="BE121" s="50">
        <v>18300</v>
      </c>
      <c r="BF121" s="50">
        <v>439200</v>
      </c>
      <c r="BG121" s="50">
        <v>-0.4509931374142177</v>
      </c>
      <c r="BH121" s="50">
        <v>18300</v>
      </c>
      <c r="BI121" s="50">
        <v>439200</v>
      </c>
      <c r="BJ121" s="50">
        <v>-0.4509931374142177</v>
      </c>
      <c r="BK121" s="50">
        <v>36600</v>
      </c>
      <c r="BL121" s="50">
        <v>487200</v>
      </c>
      <c r="BM121" s="50">
        <v>-0.39099238740484255</v>
      </c>
      <c r="BN121" s="50">
        <v>487200</v>
      </c>
      <c r="BO121" s="50">
        <v>-0.39099238740484255</v>
      </c>
      <c r="BP121" s="50">
        <v>40600</v>
      </c>
      <c r="BQ121" s="50">
        <v>799990</v>
      </c>
      <c r="BR121" s="50" t="s">
        <v>747</v>
      </c>
      <c r="BS121" s="50" t="s">
        <v>748</v>
      </c>
    </row>
    <row r="122" spans="1:71" ht="15.75" customHeight="1" x14ac:dyDescent="0.2">
      <c r="A122" s="25" t="s">
        <v>644</v>
      </c>
      <c r="B122" s="26" t="s">
        <v>645</v>
      </c>
      <c r="C122" s="27" t="s">
        <v>401</v>
      </c>
      <c r="D122" s="50">
        <v>357600</v>
      </c>
      <c r="E122" s="30">
        <f>+(D122-$P122)/$P122</f>
        <v>-0.55299441243015535</v>
      </c>
      <c r="F122" s="50">
        <f t="shared" si="15"/>
        <v>14900</v>
      </c>
      <c r="G122" s="50">
        <v>357600</v>
      </c>
      <c r="H122" s="30">
        <f>+(G122-$P122)/$P122</f>
        <v>-0.55299441243015535</v>
      </c>
      <c r="I122" s="50">
        <f t="shared" si="16"/>
        <v>14900</v>
      </c>
      <c r="J122" s="50">
        <v>357600</v>
      </c>
      <c r="K122" s="30">
        <f>+(J122-$P122)/$P122</f>
        <v>-0.55299441243015535</v>
      </c>
      <c r="L122" s="50">
        <f t="shared" si="17"/>
        <v>29800</v>
      </c>
      <c r="M122" s="50">
        <v>477600</v>
      </c>
      <c r="N122" s="30">
        <f t="shared" si="18"/>
        <v>-0.40299253740671759</v>
      </c>
      <c r="O122" s="50">
        <f t="shared" si="19"/>
        <v>39800</v>
      </c>
      <c r="P122" s="50">
        <v>799990</v>
      </c>
      <c r="Q122" t="s">
        <v>794</v>
      </c>
      <c r="R122" t="e">
        <f>VLOOKUP(B122,#REF!,1,0)</f>
        <v>#REF!</v>
      </c>
      <c r="S122" s="50">
        <v>-83000</v>
      </c>
      <c r="T122" s="50">
        <v>900</v>
      </c>
      <c r="U122" s="50">
        <v>-66800</v>
      </c>
      <c r="V122" s="50">
        <v>-83000</v>
      </c>
      <c r="W122" s="50">
        <v>900</v>
      </c>
      <c r="X122" s="50">
        <v>-66800</v>
      </c>
      <c r="Y122" s="50">
        <v>-83000</v>
      </c>
      <c r="Z122" s="50">
        <v>900</v>
      </c>
      <c r="AA122" s="50">
        <v>-66800</v>
      </c>
      <c r="AB122" s="50">
        <v>-81600</v>
      </c>
      <c r="AC122" s="50">
        <v>-0.10200127501593764</v>
      </c>
      <c r="AD122" s="50">
        <v>-3400</v>
      </c>
      <c r="AE122" s="50">
        <v>-81600</v>
      </c>
      <c r="AF122" s="50">
        <v>-0.10200127501593764</v>
      </c>
      <c r="AG122" s="50">
        <v>-3400</v>
      </c>
      <c r="AH122" s="50">
        <v>-81600</v>
      </c>
      <c r="AI122" s="50">
        <v>-0.10200127501593764</v>
      </c>
      <c r="AJ122" s="50">
        <v>-6800</v>
      </c>
      <c r="AK122" s="50">
        <v>-9600</v>
      </c>
      <c r="AL122" s="50">
        <v>-1.2000150001875043E-2</v>
      </c>
      <c r="AM122" s="50">
        <v>-9600</v>
      </c>
      <c r="AN122" s="50">
        <v>-1.2000150001875043E-2</v>
      </c>
      <c r="AO122" s="50">
        <v>-800</v>
      </c>
      <c r="AP122" s="50">
        <v>0</v>
      </c>
      <c r="AQ122" s="50">
        <v>0</v>
      </c>
      <c r="AR122" s="50">
        <v>0</v>
      </c>
      <c r="AT122" s="50">
        <v>239990</v>
      </c>
      <c r="AU122" s="50">
        <v>20200</v>
      </c>
      <c r="AV122" s="50">
        <v>603590</v>
      </c>
      <c r="AW122" s="50">
        <v>239990</v>
      </c>
      <c r="AX122" s="50">
        <v>20200</v>
      </c>
      <c r="AY122" s="50">
        <v>603590</v>
      </c>
      <c r="AZ122" s="50">
        <v>239990</v>
      </c>
      <c r="BA122" s="50">
        <v>20200</v>
      </c>
      <c r="BB122" s="50">
        <v>603590</v>
      </c>
      <c r="BC122" s="50">
        <v>439200</v>
      </c>
      <c r="BD122" s="50">
        <v>-0.4509931374142177</v>
      </c>
      <c r="BE122" s="50">
        <v>18300</v>
      </c>
      <c r="BF122" s="50">
        <v>439200</v>
      </c>
      <c r="BG122" s="50">
        <v>-0.4509931374142177</v>
      </c>
      <c r="BH122" s="50">
        <v>18300</v>
      </c>
      <c r="BI122" s="50">
        <v>439200</v>
      </c>
      <c r="BJ122" s="50">
        <v>-0.4509931374142177</v>
      </c>
      <c r="BK122" s="50">
        <v>36600</v>
      </c>
      <c r="BL122" s="50">
        <v>487200</v>
      </c>
      <c r="BM122" s="50">
        <v>-0.39099238740484255</v>
      </c>
      <c r="BN122" s="50">
        <v>487200</v>
      </c>
      <c r="BO122" s="50">
        <v>-0.39099238740484255</v>
      </c>
      <c r="BP122" s="50">
        <v>40600</v>
      </c>
      <c r="BQ122" s="50">
        <v>799990</v>
      </c>
      <c r="BR122" s="50" t="s">
        <v>747</v>
      </c>
      <c r="BS122" s="50" t="s">
        <v>748</v>
      </c>
    </row>
    <row r="123" spans="1:71" ht="15.75" customHeight="1" x14ac:dyDescent="0.2">
      <c r="A123" s="25" t="s">
        <v>646</v>
      </c>
      <c r="B123" s="26" t="s">
        <v>647</v>
      </c>
      <c r="C123" s="27" t="s">
        <v>401</v>
      </c>
      <c r="D123" s="50">
        <v>648000</v>
      </c>
      <c r="E123" s="30">
        <f>+(D123-$P123)/$P123</f>
        <v>-0.23763808985988069</v>
      </c>
      <c r="F123" s="50">
        <f t="shared" si="15"/>
        <v>27000</v>
      </c>
      <c r="G123" s="50">
        <v>648000</v>
      </c>
      <c r="H123" s="30">
        <f>+(G123-$P123)/$P123</f>
        <v>-0.23763808985988069</v>
      </c>
      <c r="I123" s="50">
        <f t="shared" si="16"/>
        <v>27000</v>
      </c>
      <c r="J123" s="50">
        <v>768000</v>
      </c>
      <c r="K123" s="30">
        <f>+(J123-$P123)/$P123</f>
        <v>-9.6459958352451206E-2</v>
      </c>
      <c r="L123" s="50">
        <f t="shared" si="17"/>
        <v>64000</v>
      </c>
      <c r="M123" s="50">
        <v>768000</v>
      </c>
      <c r="N123" s="30">
        <f t="shared" si="18"/>
        <v>-9.6459958352451206E-2</v>
      </c>
      <c r="O123" s="50">
        <f t="shared" si="19"/>
        <v>64000</v>
      </c>
      <c r="P123" s="50">
        <v>849990</v>
      </c>
      <c r="Q123" t="s">
        <v>795</v>
      </c>
      <c r="R123" t="e">
        <f>VLOOKUP(B123,#REF!,1,0)</f>
        <v>#REF!</v>
      </c>
      <c r="S123" s="50">
        <v>-35000</v>
      </c>
      <c r="T123" s="50">
        <v>2000</v>
      </c>
      <c r="U123" s="50">
        <v>1000</v>
      </c>
      <c r="V123" s="50">
        <v>-35000</v>
      </c>
      <c r="W123" s="50">
        <v>2000</v>
      </c>
      <c r="X123" s="50">
        <v>1000</v>
      </c>
      <c r="Y123" s="50">
        <v>-35000</v>
      </c>
      <c r="Z123" s="50">
        <v>2000</v>
      </c>
      <c r="AA123" s="50">
        <v>1000</v>
      </c>
      <c r="AB123" s="50">
        <v>0</v>
      </c>
      <c r="AC123" s="50">
        <v>0</v>
      </c>
      <c r="AD123" s="50">
        <v>0</v>
      </c>
      <c r="AE123" s="50">
        <v>0</v>
      </c>
      <c r="AF123" s="50">
        <v>0</v>
      </c>
      <c r="AG123" s="50">
        <v>0</v>
      </c>
      <c r="AH123" s="50">
        <v>43200</v>
      </c>
      <c r="AI123" s="50">
        <v>5.0824127342674622E-2</v>
      </c>
      <c r="AJ123" s="50">
        <v>3600</v>
      </c>
      <c r="AK123" s="50">
        <v>43200</v>
      </c>
      <c r="AL123" s="50">
        <v>5.0824127342674622E-2</v>
      </c>
      <c r="AM123" s="50">
        <v>43200</v>
      </c>
      <c r="AN123" s="50">
        <v>5.0824127342674622E-2</v>
      </c>
      <c r="AO123" s="50">
        <v>3600</v>
      </c>
      <c r="AP123" s="50">
        <v>0</v>
      </c>
      <c r="AQ123" s="50">
        <v>0</v>
      </c>
      <c r="AR123" s="50">
        <v>0</v>
      </c>
      <c r="AT123" s="50">
        <v>379990</v>
      </c>
      <c r="AU123" s="50">
        <v>27700</v>
      </c>
      <c r="AV123" s="50">
        <v>878590</v>
      </c>
      <c r="AW123" s="50">
        <v>379990</v>
      </c>
      <c r="AX123" s="50">
        <v>27700</v>
      </c>
      <c r="AY123" s="50">
        <v>878590</v>
      </c>
      <c r="AZ123" s="50">
        <v>379990</v>
      </c>
      <c r="BA123" s="50">
        <v>27700</v>
      </c>
      <c r="BB123" s="50">
        <v>878590</v>
      </c>
      <c r="BC123" s="50">
        <v>648000</v>
      </c>
      <c r="BD123" s="50">
        <v>-0.23763808985988069</v>
      </c>
      <c r="BE123" s="50">
        <v>27000</v>
      </c>
      <c r="BF123" s="50">
        <v>648000</v>
      </c>
      <c r="BG123" s="50">
        <v>-0.23763808985988069</v>
      </c>
      <c r="BH123" s="50">
        <v>27000</v>
      </c>
      <c r="BI123" s="50">
        <v>724800</v>
      </c>
      <c r="BJ123" s="50">
        <v>-0.14728408569512583</v>
      </c>
      <c r="BK123" s="50">
        <v>60400</v>
      </c>
      <c r="BL123" s="50">
        <v>724800</v>
      </c>
      <c r="BM123" s="50">
        <v>-0.14728408569512583</v>
      </c>
      <c r="BN123" s="50">
        <v>724800</v>
      </c>
      <c r="BO123" s="50">
        <v>-0.14728408569512583</v>
      </c>
      <c r="BP123" s="50">
        <v>60400</v>
      </c>
      <c r="BQ123" s="50">
        <v>849990</v>
      </c>
      <c r="BR123" s="50" t="s">
        <v>747</v>
      </c>
      <c r="BS123" s="50" t="s">
        <v>748</v>
      </c>
    </row>
    <row r="124" spans="1:71" ht="15.75" customHeight="1" x14ac:dyDescent="0.2">
      <c r="A124" s="25" t="s">
        <v>648</v>
      </c>
      <c r="B124" s="26" t="s">
        <v>649</v>
      </c>
      <c r="C124" s="27" t="s">
        <v>401</v>
      </c>
      <c r="D124" s="50">
        <v>648000</v>
      </c>
      <c r="E124" s="30">
        <f>+(D124-$P124)/$P124</f>
        <v>-0.23763808985988069</v>
      </c>
      <c r="F124" s="50">
        <f t="shared" si="15"/>
        <v>27000</v>
      </c>
      <c r="G124" s="50">
        <v>648000</v>
      </c>
      <c r="H124" s="30">
        <f>+(G124-$P124)/$P124</f>
        <v>-0.23763808985988069</v>
      </c>
      <c r="I124" s="50">
        <f t="shared" si="16"/>
        <v>27000</v>
      </c>
      <c r="J124" s="50">
        <v>768000</v>
      </c>
      <c r="K124" s="30">
        <f>+(J124-$P124)/$P124</f>
        <v>-9.6459958352451206E-2</v>
      </c>
      <c r="L124" s="50">
        <f t="shared" si="17"/>
        <v>64000</v>
      </c>
      <c r="M124" s="50">
        <v>768000</v>
      </c>
      <c r="N124" s="30">
        <f t="shared" si="18"/>
        <v>-9.6459958352451206E-2</v>
      </c>
      <c r="O124" s="50">
        <f t="shared" si="19"/>
        <v>64000</v>
      </c>
      <c r="P124" s="50">
        <v>849990</v>
      </c>
      <c r="Q124" t="s">
        <v>795</v>
      </c>
      <c r="R124" t="e">
        <f>VLOOKUP(B124,#REF!,1,0)</f>
        <v>#REF!</v>
      </c>
      <c r="S124" s="50">
        <v>-35000</v>
      </c>
      <c r="T124" s="50">
        <v>2000</v>
      </c>
      <c r="U124" s="50">
        <v>1000</v>
      </c>
      <c r="V124" s="50">
        <v>-35000</v>
      </c>
      <c r="W124" s="50">
        <v>2000</v>
      </c>
      <c r="X124" s="50">
        <v>1000</v>
      </c>
      <c r="Y124" s="50">
        <v>-35000</v>
      </c>
      <c r="Z124" s="50">
        <v>2000</v>
      </c>
      <c r="AA124" s="50">
        <v>1000</v>
      </c>
      <c r="AB124" s="50">
        <v>0</v>
      </c>
      <c r="AC124" s="50">
        <v>0</v>
      </c>
      <c r="AD124" s="50">
        <v>0</v>
      </c>
      <c r="AE124" s="50">
        <v>0</v>
      </c>
      <c r="AF124" s="50">
        <v>0</v>
      </c>
      <c r="AG124" s="50">
        <v>0</v>
      </c>
      <c r="AH124" s="50">
        <v>43200</v>
      </c>
      <c r="AI124" s="50">
        <v>5.0824127342674622E-2</v>
      </c>
      <c r="AJ124" s="50">
        <v>3600</v>
      </c>
      <c r="AK124" s="50">
        <v>43200</v>
      </c>
      <c r="AL124" s="50">
        <v>5.0824127342674622E-2</v>
      </c>
      <c r="AM124" s="50">
        <v>43200</v>
      </c>
      <c r="AN124" s="50">
        <v>5.0824127342674622E-2</v>
      </c>
      <c r="AO124" s="50">
        <v>3600</v>
      </c>
      <c r="AP124" s="50">
        <v>0</v>
      </c>
      <c r="AQ124" s="50">
        <v>0</v>
      </c>
      <c r="AR124" s="50">
        <v>0</v>
      </c>
      <c r="AT124" s="50">
        <v>379990</v>
      </c>
      <c r="AU124" s="50">
        <v>27700</v>
      </c>
      <c r="AV124" s="50">
        <v>878590</v>
      </c>
      <c r="AW124" s="50">
        <v>379990</v>
      </c>
      <c r="AX124" s="50">
        <v>27700</v>
      </c>
      <c r="AY124" s="50">
        <v>878590</v>
      </c>
      <c r="AZ124" s="50">
        <v>379990</v>
      </c>
      <c r="BA124" s="50">
        <v>27700</v>
      </c>
      <c r="BB124" s="50">
        <v>878590</v>
      </c>
      <c r="BC124" s="50">
        <v>648000</v>
      </c>
      <c r="BD124" s="50">
        <v>-0.23763808985988069</v>
      </c>
      <c r="BE124" s="50">
        <v>27000</v>
      </c>
      <c r="BF124" s="50">
        <v>648000</v>
      </c>
      <c r="BG124" s="50">
        <v>-0.23763808985988069</v>
      </c>
      <c r="BH124" s="50">
        <v>27000</v>
      </c>
      <c r="BI124" s="50">
        <v>724800</v>
      </c>
      <c r="BJ124" s="50">
        <v>-0.14728408569512583</v>
      </c>
      <c r="BK124" s="50">
        <v>60400</v>
      </c>
      <c r="BL124" s="50">
        <v>724800</v>
      </c>
      <c r="BM124" s="50">
        <v>-0.14728408569512583</v>
      </c>
      <c r="BN124" s="50">
        <v>724800</v>
      </c>
      <c r="BO124" s="50">
        <v>-0.14728408569512583</v>
      </c>
      <c r="BP124" s="50">
        <v>60400</v>
      </c>
      <c r="BQ124" s="50">
        <v>849990</v>
      </c>
      <c r="BR124" s="50" t="s">
        <v>747</v>
      </c>
      <c r="BS124" s="50" t="s">
        <v>748</v>
      </c>
    </row>
    <row r="125" spans="1:71" ht="15.75" customHeight="1" x14ac:dyDescent="0.2">
      <c r="A125" s="25" t="s">
        <v>650</v>
      </c>
      <c r="B125" s="26" t="s">
        <v>651</v>
      </c>
      <c r="C125" s="27" t="s">
        <v>401</v>
      </c>
      <c r="D125" s="50">
        <v>796800</v>
      </c>
      <c r="E125" s="30">
        <f>+(D125-$P125)/$P125</f>
        <v>-0.16125432899293676</v>
      </c>
      <c r="F125" s="50">
        <f t="shared" si="15"/>
        <v>33200</v>
      </c>
      <c r="G125" s="50">
        <v>796800</v>
      </c>
      <c r="H125" s="30">
        <f>+(G125-$P125)/$P125</f>
        <v>-0.16125432899293676</v>
      </c>
      <c r="I125" s="50">
        <f t="shared" si="16"/>
        <v>33200</v>
      </c>
      <c r="J125" s="50">
        <v>796800</v>
      </c>
      <c r="K125" s="30">
        <f>+(J125-$P125)/$P125</f>
        <v>-0.16125432899293676</v>
      </c>
      <c r="L125" s="50">
        <f t="shared" si="17"/>
        <v>66400</v>
      </c>
      <c r="M125" s="50">
        <v>916800</v>
      </c>
      <c r="N125" s="30">
        <f t="shared" si="18"/>
        <v>-3.4937209865367004E-2</v>
      </c>
      <c r="O125" s="50">
        <f t="shared" si="19"/>
        <v>76400</v>
      </c>
      <c r="P125" s="50">
        <v>949990</v>
      </c>
      <c r="Q125" t="s">
        <v>796</v>
      </c>
      <c r="R125" t="e">
        <f>VLOOKUP(B125,#REF!,1,0)</f>
        <v>#REF!</v>
      </c>
      <c r="S125" s="50">
        <v>143000</v>
      </c>
      <c r="T125" s="50">
        <v>400</v>
      </c>
      <c r="U125" s="50">
        <v>150200</v>
      </c>
      <c r="V125" s="50">
        <v>-7000</v>
      </c>
      <c r="W125" s="50">
        <v>400</v>
      </c>
      <c r="X125" s="50">
        <v>200</v>
      </c>
      <c r="Y125" s="50">
        <v>-7000</v>
      </c>
      <c r="Z125" s="50">
        <v>400</v>
      </c>
      <c r="AA125" s="50">
        <v>200</v>
      </c>
      <c r="AB125" s="50">
        <v>0</v>
      </c>
      <c r="AC125" s="50">
        <v>0</v>
      </c>
      <c r="AD125" s="50">
        <v>0</v>
      </c>
      <c r="AE125" s="50">
        <v>0</v>
      </c>
      <c r="AF125" s="50">
        <v>0</v>
      </c>
      <c r="AG125" s="50">
        <v>0</v>
      </c>
      <c r="AH125" s="50">
        <v>0</v>
      </c>
      <c r="AI125" s="50">
        <v>0</v>
      </c>
      <c r="AJ125" s="50">
        <v>0</v>
      </c>
      <c r="AK125" s="50">
        <v>72000</v>
      </c>
      <c r="AL125" s="50">
        <v>7.5790271476541854E-2</v>
      </c>
      <c r="AM125" s="50">
        <v>72000</v>
      </c>
      <c r="AN125" s="50">
        <v>7.5790271476541854E-2</v>
      </c>
      <c r="AO125" s="50">
        <v>6000</v>
      </c>
      <c r="AP125" s="50">
        <v>0</v>
      </c>
      <c r="AQ125" s="50">
        <v>0</v>
      </c>
      <c r="AR125" s="50">
        <v>0</v>
      </c>
      <c r="AT125" s="50">
        <v>719990</v>
      </c>
      <c r="AU125" s="50">
        <v>36200</v>
      </c>
      <c r="AV125" s="50">
        <v>1371590</v>
      </c>
      <c r="AW125" s="50">
        <v>569990</v>
      </c>
      <c r="AX125" s="50">
        <v>36200</v>
      </c>
      <c r="AY125" s="50">
        <v>1221590</v>
      </c>
      <c r="AZ125" s="50">
        <v>569990</v>
      </c>
      <c r="BA125" s="50">
        <v>36200</v>
      </c>
      <c r="BB125" s="50">
        <v>1221590</v>
      </c>
      <c r="BC125" s="50">
        <v>796800</v>
      </c>
      <c r="BD125" s="50">
        <v>-0.16125432899293676</v>
      </c>
      <c r="BE125" s="50">
        <v>33200</v>
      </c>
      <c r="BF125" s="50">
        <v>796800</v>
      </c>
      <c r="BG125" s="50">
        <v>-0.16125432899293676</v>
      </c>
      <c r="BH125" s="50">
        <v>33200</v>
      </c>
      <c r="BI125" s="50">
        <v>796800</v>
      </c>
      <c r="BJ125" s="50">
        <v>-0.16125432899293676</v>
      </c>
      <c r="BK125" s="50">
        <v>66400</v>
      </c>
      <c r="BL125" s="50">
        <v>844800</v>
      </c>
      <c r="BM125" s="50">
        <v>-0.11072748134190886</v>
      </c>
      <c r="BN125" s="50">
        <v>844800</v>
      </c>
      <c r="BO125" s="50">
        <v>-0.11072748134190886</v>
      </c>
      <c r="BP125" s="50">
        <v>70400</v>
      </c>
      <c r="BQ125" s="50">
        <v>949990</v>
      </c>
      <c r="BR125" s="50" t="s">
        <v>747</v>
      </c>
      <c r="BS125" s="50" t="s">
        <v>748</v>
      </c>
    </row>
    <row r="126" spans="1:71" ht="15.75" customHeight="1" x14ac:dyDescent="0.2">
      <c r="A126" s="25" t="s">
        <v>652</v>
      </c>
      <c r="B126" s="26" t="s">
        <v>653</v>
      </c>
      <c r="C126" s="27" t="s">
        <v>401</v>
      </c>
      <c r="D126" s="50">
        <v>796800</v>
      </c>
      <c r="E126" s="30">
        <f>+(D126-$P126)/$P126</f>
        <v>-0.16125432899293676</v>
      </c>
      <c r="F126" s="50">
        <f t="shared" si="15"/>
        <v>33200</v>
      </c>
      <c r="G126" s="50">
        <v>796800</v>
      </c>
      <c r="H126" s="30">
        <f>+(G126-$P126)/$P126</f>
        <v>-0.16125432899293676</v>
      </c>
      <c r="I126" s="50">
        <f t="shared" si="16"/>
        <v>33200</v>
      </c>
      <c r="J126" s="50">
        <v>796800</v>
      </c>
      <c r="K126" s="30">
        <f>+(J126-$P126)/$P126</f>
        <v>-0.16125432899293676</v>
      </c>
      <c r="L126" s="50">
        <f t="shared" si="17"/>
        <v>66400</v>
      </c>
      <c r="M126" s="50">
        <v>916800</v>
      </c>
      <c r="N126" s="30">
        <f t="shared" si="18"/>
        <v>-3.4937209865367004E-2</v>
      </c>
      <c r="O126" s="50">
        <f t="shared" si="19"/>
        <v>76400</v>
      </c>
      <c r="P126" s="50">
        <v>949990</v>
      </c>
      <c r="Q126" t="s">
        <v>796</v>
      </c>
      <c r="R126" t="e">
        <f>VLOOKUP(B126,#REF!,1,0)</f>
        <v>#REF!</v>
      </c>
      <c r="S126" s="50">
        <v>143000</v>
      </c>
      <c r="T126" s="50">
        <v>400</v>
      </c>
      <c r="U126" s="50">
        <v>150200</v>
      </c>
      <c r="V126" s="50">
        <v>-7000</v>
      </c>
      <c r="W126" s="50">
        <v>400</v>
      </c>
      <c r="X126" s="50">
        <v>200</v>
      </c>
      <c r="Y126" s="50">
        <v>-7000</v>
      </c>
      <c r="Z126" s="50">
        <v>400</v>
      </c>
      <c r="AA126" s="50">
        <v>200</v>
      </c>
      <c r="AB126" s="50">
        <v>0</v>
      </c>
      <c r="AC126" s="50">
        <v>0</v>
      </c>
      <c r="AD126" s="50">
        <v>0</v>
      </c>
      <c r="AE126" s="50">
        <v>0</v>
      </c>
      <c r="AF126" s="50">
        <v>0</v>
      </c>
      <c r="AG126" s="50">
        <v>0</v>
      </c>
      <c r="AH126" s="50">
        <v>0</v>
      </c>
      <c r="AI126" s="50">
        <v>0</v>
      </c>
      <c r="AJ126" s="50">
        <v>0</v>
      </c>
      <c r="AK126" s="50">
        <v>72000</v>
      </c>
      <c r="AL126" s="50">
        <v>7.5790271476541854E-2</v>
      </c>
      <c r="AM126" s="50">
        <v>72000</v>
      </c>
      <c r="AN126" s="50">
        <v>7.5790271476541854E-2</v>
      </c>
      <c r="AO126" s="50">
        <v>6000</v>
      </c>
      <c r="AP126" s="50">
        <v>0</v>
      </c>
      <c r="AQ126" s="50">
        <v>0</v>
      </c>
      <c r="AR126" s="50">
        <v>0</v>
      </c>
      <c r="AT126" s="50">
        <v>719990</v>
      </c>
      <c r="AU126" s="50">
        <v>36200</v>
      </c>
      <c r="AV126" s="50">
        <v>1371590</v>
      </c>
      <c r="AW126" s="50">
        <v>569990</v>
      </c>
      <c r="AX126" s="50">
        <v>36200</v>
      </c>
      <c r="AY126" s="50">
        <v>1221590</v>
      </c>
      <c r="AZ126" s="50">
        <v>569990</v>
      </c>
      <c r="BA126" s="50">
        <v>36200</v>
      </c>
      <c r="BB126" s="50">
        <v>1221590</v>
      </c>
      <c r="BC126" s="50">
        <v>796800</v>
      </c>
      <c r="BD126" s="50">
        <v>-0.16125432899293676</v>
      </c>
      <c r="BE126" s="50">
        <v>33200</v>
      </c>
      <c r="BF126" s="50">
        <v>796800</v>
      </c>
      <c r="BG126" s="50">
        <v>-0.16125432899293676</v>
      </c>
      <c r="BH126" s="50">
        <v>33200</v>
      </c>
      <c r="BI126" s="50">
        <v>796800</v>
      </c>
      <c r="BJ126" s="50">
        <v>-0.16125432899293676</v>
      </c>
      <c r="BK126" s="50">
        <v>66400</v>
      </c>
      <c r="BL126" s="50">
        <v>844800</v>
      </c>
      <c r="BM126" s="50">
        <v>-0.11072748134190886</v>
      </c>
      <c r="BN126" s="50">
        <v>844800</v>
      </c>
      <c r="BO126" s="50">
        <v>-0.11072748134190886</v>
      </c>
      <c r="BP126" s="50">
        <v>70400</v>
      </c>
      <c r="BQ126" s="50">
        <v>949990</v>
      </c>
      <c r="BR126" s="50" t="s">
        <v>747</v>
      </c>
      <c r="BS126" s="50" t="s">
        <v>748</v>
      </c>
    </row>
    <row r="127" spans="1:71" ht="15.75" customHeight="1" x14ac:dyDescent="0.2">
      <c r="A127" s="25" t="s">
        <v>654</v>
      </c>
      <c r="B127" s="26" t="s">
        <v>655</v>
      </c>
      <c r="C127" s="27" t="s">
        <v>401</v>
      </c>
      <c r="D127" s="50">
        <v>796800</v>
      </c>
      <c r="E127" s="30">
        <f>+(D127-$P127)/$P127</f>
        <v>-0.16125432899293676</v>
      </c>
      <c r="F127" s="50">
        <f t="shared" si="15"/>
        <v>33200</v>
      </c>
      <c r="G127" s="50">
        <v>796800</v>
      </c>
      <c r="H127" s="30">
        <f>+(G127-$P127)/$P127</f>
        <v>-0.16125432899293676</v>
      </c>
      <c r="I127" s="50">
        <f t="shared" si="16"/>
        <v>33200</v>
      </c>
      <c r="J127" s="50">
        <v>796800</v>
      </c>
      <c r="K127" s="30">
        <f>+(J127-$P127)/$P127</f>
        <v>-0.16125432899293676</v>
      </c>
      <c r="L127" s="50">
        <f t="shared" si="17"/>
        <v>66400</v>
      </c>
      <c r="M127" s="50">
        <v>916800</v>
      </c>
      <c r="N127" s="30">
        <f t="shared" si="18"/>
        <v>-3.4937209865367004E-2</v>
      </c>
      <c r="O127" s="50">
        <f t="shared" si="19"/>
        <v>76400</v>
      </c>
      <c r="P127" s="50">
        <v>949990</v>
      </c>
      <c r="Q127" t="s">
        <v>796</v>
      </c>
      <c r="R127" t="e">
        <f>VLOOKUP(B127,#REF!,1,0)</f>
        <v>#REF!</v>
      </c>
      <c r="S127" s="50">
        <v>143000</v>
      </c>
      <c r="T127" s="50">
        <v>400</v>
      </c>
      <c r="U127" s="50">
        <v>150200</v>
      </c>
      <c r="V127" s="50">
        <v>-7000</v>
      </c>
      <c r="W127" s="50">
        <v>400</v>
      </c>
      <c r="X127" s="50">
        <v>200</v>
      </c>
      <c r="Y127" s="50">
        <v>-7000</v>
      </c>
      <c r="Z127" s="50">
        <v>400</v>
      </c>
      <c r="AA127" s="50">
        <v>200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72000</v>
      </c>
      <c r="AL127" s="50">
        <v>7.5790271476541854E-2</v>
      </c>
      <c r="AM127" s="50">
        <v>72000</v>
      </c>
      <c r="AN127" s="50">
        <v>7.5790271476541854E-2</v>
      </c>
      <c r="AO127" s="50">
        <v>6000</v>
      </c>
      <c r="AP127" s="50">
        <v>0</v>
      </c>
      <c r="AQ127" s="50">
        <v>0</v>
      </c>
      <c r="AR127" s="50">
        <v>0</v>
      </c>
      <c r="AT127" s="50">
        <v>719990</v>
      </c>
      <c r="AU127" s="50">
        <v>36200</v>
      </c>
      <c r="AV127" s="50">
        <v>1371590</v>
      </c>
      <c r="AW127" s="50">
        <v>569990</v>
      </c>
      <c r="AX127" s="50">
        <v>36200</v>
      </c>
      <c r="AY127" s="50">
        <v>1221590</v>
      </c>
      <c r="AZ127" s="50">
        <v>569990</v>
      </c>
      <c r="BA127" s="50">
        <v>36200</v>
      </c>
      <c r="BB127" s="50">
        <v>1221590</v>
      </c>
      <c r="BC127" s="50">
        <v>796800</v>
      </c>
      <c r="BD127" s="50">
        <v>-0.16125432899293676</v>
      </c>
      <c r="BE127" s="50">
        <v>33200</v>
      </c>
      <c r="BF127" s="50">
        <v>796800</v>
      </c>
      <c r="BG127" s="50">
        <v>-0.16125432899293676</v>
      </c>
      <c r="BH127" s="50">
        <v>33200</v>
      </c>
      <c r="BI127" s="50">
        <v>796800</v>
      </c>
      <c r="BJ127" s="50">
        <v>-0.16125432899293676</v>
      </c>
      <c r="BK127" s="50">
        <v>66400</v>
      </c>
      <c r="BL127" s="50">
        <v>844800</v>
      </c>
      <c r="BM127" s="50">
        <v>-0.11072748134190886</v>
      </c>
      <c r="BN127" s="50">
        <v>844800</v>
      </c>
      <c r="BO127" s="50">
        <v>-0.11072748134190886</v>
      </c>
      <c r="BP127" s="50">
        <v>70400</v>
      </c>
      <c r="BQ127" s="50">
        <v>949990</v>
      </c>
      <c r="BR127" s="50" t="s">
        <v>747</v>
      </c>
      <c r="BS127" s="50" t="s">
        <v>748</v>
      </c>
    </row>
    <row r="128" spans="1:71" ht="15.75" customHeight="1" x14ac:dyDescent="0.2">
      <c r="A128" s="25" t="s">
        <v>656</v>
      </c>
      <c r="B128" s="26" t="s">
        <v>657</v>
      </c>
      <c r="C128" s="27" t="s">
        <v>401</v>
      </c>
      <c r="D128" s="50">
        <v>796800</v>
      </c>
      <c r="E128" s="30">
        <f>+(D128-$P128)/$P128</f>
        <v>-0.16125432899293676</v>
      </c>
      <c r="F128" s="50">
        <f t="shared" si="15"/>
        <v>33200</v>
      </c>
      <c r="G128" s="50">
        <v>796800</v>
      </c>
      <c r="H128" s="30">
        <f>+(G128-$P128)/$P128</f>
        <v>-0.16125432899293676</v>
      </c>
      <c r="I128" s="50">
        <f t="shared" si="16"/>
        <v>33200</v>
      </c>
      <c r="J128" s="50">
        <v>796800</v>
      </c>
      <c r="K128" s="30">
        <f>+(J128-$P128)/$P128</f>
        <v>-0.16125432899293676</v>
      </c>
      <c r="L128" s="50">
        <f t="shared" si="17"/>
        <v>66400</v>
      </c>
      <c r="M128" s="50">
        <v>916800</v>
      </c>
      <c r="N128" s="30">
        <f t="shared" si="18"/>
        <v>-3.4937209865367004E-2</v>
      </c>
      <c r="O128" s="50">
        <f t="shared" si="19"/>
        <v>76400</v>
      </c>
      <c r="P128" s="50">
        <v>949990</v>
      </c>
      <c r="Q128" t="s">
        <v>796</v>
      </c>
      <c r="R128" t="e">
        <f>VLOOKUP(B128,#REF!,1,0)</f>
        <v>#REF!</v>
      </c>
      <c r="S128" s="50">
        <v>143000</v>
      </c>
      <c r="T128" s="50">
        <v>400</v>
      </c>
      <c r="U128" s="50">
        <v>150200</v>
      </c>
      <c r="V128" s="50">
        <v>-7000</v>
      </c>
      <c r="W128" s="50">
        <v>400</v>
      </c>
      <c r="X128" s="50">
        <v>200</v>
      </c>
      <c r="Y128" s="50">
        <v>-7000</v>
      </c>
      <c r="Z128" s="50">
        <v>400</v>
      </c>
      <c r="AA128" s="50">
        <v>200</v>
      </c>
      <c r="AB128" s="50">
        <v>0</v>
      </c>
      <c r="AC128" s="50">
        <v>0</v>
      </c>
      <c r="AD128" s="50">
        <v>0</v>
      </c>
      <c r="AE128" s="50">
        <v>0</v>
      </c>
      <c r="AF128" s="50">
        <v>0</v>
      </c>
      <c r="AG128" s="50">
        <v>0</v>
      </c>
      <c r="AH128" s="50">
        <v>0</v>
      </c>
      <c r="AI128" s="50">
        <v>0</v>
      </c>
      <c r="AJ128" s="50">
        <v>0</v>
      </c>
      <c r="AK128" s="50">
        <v>72000</v>
      </c>
      <c r="AL128" s="50">
        <v>7.5790271476541854E-2</v>
      </c>
      <c r="AM128" s="50">
        <v>72000</v>
      </c>
      <c r="AN128" s="50">
        <v>7.5790271476541854E-2</v>
      </c>
      <c r="AO128" s="50">
        <v>6000</v>
      </c>
      <c r="AP128" s="50">
        <v>0</v>
      </c>
      <c r="AQ128" s="50">
        <v>0</v>
      </c>
      <c r="AR128" s="50">
        <v>0</v>
      </c>
      <c r="AT128" s="50">
        <v>719990</v>
      </c>
      <c r="AU128" s="50">
        <v>36200</v>
      </c>
      <c r="AV128" s="50">
        <v>1371590</v>
      </c>
      <c r="AW128" s="50">
        <v>569990</v>
      </c>
      <c r="AX128" s="50">
        <v>36200</v>
      </c>
      <c r="AY128" s="50">
        <v>1221590</v>
      </c>
      <c r="AZ128" s="50">
        <v>569990</v>
      </c>
      <c r="BA128" s="50">
        <v>36200</v>
      </c>
      <c r="BB128" s="50">
        <v>1221590</v>
      </c>
      <c r="BC128" s="50">
        <v>796800</v>
      </c>
      <c r="BD128" s="50">
        <v>-0.16125432899293676</v>
      </c>
      <c r="BE128" s="50">
        <v>33200</v>
      </c>
      <c r="BF128" s="50">
        <v>796800</v>
      </c>
      <c r="BG128" s="50">
        <v>-0.16125432899293676</v>
      </c>
      <c r="BH128" s="50">
        <v>33200</v>
      </c>
      <c r="BI128" s="50">
        <v>796800</v>
      </c>
      <c r="BJ128" s="50">
        <v>-0.16125432899293676</v>
      </c>
      <c r="BK128" s="50">
        <v>66400</v>
      </c>
      <c r="BL128" s="50">
        <v>844800</v>
      </c>
      <c r="BM128" s="50">
        <v>-0.11072748134190886</v>
      </c>
      <c r="BN128" s="50">
        <v>844800</v>
      </c>
      <c r="BO128" s="50">
        <v>-0.11072748134190886</v>
      </c>
      <c r="BP128" s="50">
        <v>70400</v>
      </c>
      <c r="BQ128" s="50">
        <v>949990</v>
      </c>
      <c r="BR128" s="50" t="s">
        <v>747</v>
      </c>
      <c r="BS128" s="50" t="s">
        <v>748</v>
      </c>
    </row>
    <row r="129" spans="1:71" ht="15.75" customHeight="1" x14ac:dyDescent="0.2">
      <c r="A129" s="25" t="s">
        <v>658</v>
      </c>
      <c r="B129" s="26" t="s">
        <v>659</v>
      </c>
      <c r="C129" s="27" t="s">
        <v>401</v>
      </c>
      <c r="D129" s="50">
        <v>796800</v>
      </c>
      <c r="E129" s="30">
        <f>+(D129-$P129)/$P129</f>
        <v>-0.16125432899293676</v>
      </c>
      <c r="F129" s="50">
        <f t="shared" si="15"/>
        <v>33200</v>
      </c>
      <c r="G129" s="50">
        <v>796800</v>
      </c>
      <c r="H129" s="30">
        <f>+(G129-$P129)/$P129</f>
        <v>-0.16125432899293676</v>
      </c>
      <c r="I129" s="50">
        <f t="shared" si="16"/>
        <v>33200</v>
      </c>
      <c r="J129" s="50">
        <v>796800</v>
      </c>
      <c r="K129" s="30">
        <f>+(J129-$P129)/$P129</f>
        <v>-0.16125432899293676</v>
      </c>
      <c r="L129" s="50">
        <f t="shared" si="17"/>
        <v>66400</v>
      </c>
      <c r="M129" s="50">
        <v>916800</v>
      </c>
      <c r="N129" s="30">
        <f t="shared" si="18"/>
        <v>-3.4937209865367004E-2</v>
      </c>
      <c r="O129" s="50">
        <f t="shared" si="19"/>
        <v>76400</v>
      </c>
      <c r="P129" s="50">
        <v>949990</v>
      </c>
      <c r="Q129" t="s">
        <v>796</v>
      </c>
      <c r="R129" t="e">
        <f>VLOOKUP(B129,#REF!,1,0)</f>
        <v>#REF!</v>
      </c>
      <c r="S129" s="50">
        <v>143000</v>
      </c>
      <c r="T129" s="50">
        <v>400</v>
      </c>
      <c r="U129" s="50">
        <v>150200</v>
      </c>
      <c r="V129" s="50">
        <v>-7000</v>
      </c>
      <c r="W129" s="50">
        <v>400</v>
      </c>
      <c r="X129" s="50">
        <v>200</v>
      </c>
      <c r="Y129" s="50">
        <v>-7000</v>
      </c>
      <c r="Z129" s="50">
        <v>400</v>
      </c>
      <c r="AA129" s="50">
        <v>200</v>
      </c>
      <c r="AB129" s="50">
        <v>0</v>
      </c>
      <c r="AC129" s="50">
        <v>0</v>
      </c>
      <c r="AD129" s="50">
        <v>0</v>
      </c>
      <c r="AE129" s="50">
        <v>0</v>
      </c>
      <c r="AF129" s="50">
        <v>0</v>
      </c>
      <c r="AG129" s="50">
        <v>0</v>
      </c>
      <c r="AH129" s="50">
        <v>0</v>
      </c>
      <c r="AI129" s="50">
        <v>0</v>
      </c>
      <c r="AJ129" s="50">
        <v>0</v>
      </c>
      <c r="AK129" s="50">
        <v>72000</v>
      </c>
      <c r="AL129" s="50">
        <v>7.5790271476541854E-2</v>
      </c>
      <c r="AM129" s="50">
        <v>72000</v>
      </c>
      <c r="AN129" s="50">
        <v>7.5790271476541854E-2</v>
      </c>
      <c r="AO129" s="50">
        <v>6000</v>
      </c>
      <c r="AP129" s="50">
        <v>0</v>
      </c>
      <c r="AQ129" s="50">
        <v>0</v>
      </c>
      <c r="AR129" s="50">
        <v>0</v>
      </c>
      <c r="AT129" s="50">
        <v>719990</v>
      </c>
      <c r="AU129" s="50">
        <v>36200</v>
      </c>
      <c r="AV129" s="50">
        <v>1371590</v>
      </c>
      <c r="AW129" s="50">
        <v>569990</v>
      </c>
      <c r="AX129" s="50">
        <v>36200</v>
      </c>
      <c r="AY129" s="50">
        <v>1221590</v>
      </c>
      <c r="AZ129" s="50">
        <v>569990</v>
      </c>
      <c r="BA129" s="50">
        <v>36200</v>
      </c>
      <c r="BB129" s="50">
        <v>1221590</v>
      </c>
      <c r="BC129" s="50">
        <v>796800</v>
      </c>
      <c r="BD129" s="50">
        <v>-0.16125432899293676</v>
      </c>
      <c r="BE129" s="50">
        <v>33200</v>
      </c>
      <c r="BF129" s="50">
        <v>796800</v>
      </c>
      <c r="BG129" s="50">
        <v>-0.16125432899293676</v>
      </c>
      <c r="BH129" s="50">
        <v>33200</v>
      </c>
      <c r="BI129" s="50">
        <v>796800</v>
      </c>
      <c r="BJ129" s="50">
        <v>-0.16125432899293676</v>
      </c>
      <c r="BK129" s="50">
        <v>66400</v>
      </c>
      <c r="BL129" s="50">
        <v>844800</v>
      </c>
      <c r="BM129" s="50">
        <v>-0.11072748134190886</v>
      </c>
      <c r="BN129" s="50">
        <v>844800</v>
      </c>
      <c r="BO129" s="50">
        <v>-0.11072748134190886</v>
      </c>
      <c r="BP129" s="50">
        <v>70400</v>
      </c>
      <c r="BQ129" s="50">
        <v>949990</v>
      </c>
      <c r="BR129" s="50" t="s">
        <v>747</v>
      </c>
      <c r="BS129" s="50" t="s">
        <v>748</v>
      </c>
    </row>
    <row r="130" spans="1:71" ht="15.75" customHeight="1" x14ac:dyDescent="0.2">
      <c r="A130" s="25" t="s">
        <v>660</v>
      </c>
      <c r="B130" s="26" t="s">
        <v>661</v>
      </c>
      <c r="C130" s="27" t="s">
        <v>401</v>
      </c>
      <c r="D130" s="50">
        <v>696000</v>
      </c>
      <c r="E130" s="30">
        <f>+(D130-$P130)/$P130</f>
        <v>-0.26736070906009535</v>
      </c>
      <c r="F130" s="50">
        <f t="shared" si="15"/>
        <v>29000</v>
      </c>
      <c r="G130" s="50">
        <v>696000</v>
      </c>
      <c r="H130" s="30">
        <f>+(G130-$P130)/$P130</f>
        <v>-0.26736070906009535</v>
      </c>
      <c r="I130" s="50">
        <f t="shared" si="16"/>
        <v>29000</v>
      </c>
      <c r="J130" s="50">
        <v>696000</v>
      </c>
      <c r="K130" s="30">
        <f>+(J130-$P130)/$P130</f>
        <v>-0.26736070906009535</v>
      </c>
      <c r="L130" s="50">
        <f t="shared" si="17"/>
        <v>58000</v>
      </c>
      <c r="M130" s="50">
        <v>816000</v>
      </c>
      <c r="N130" s="30">
        <f t="shared" si="18"/>
        <v>-0.14104358993252561</v>
      </c>
      <c r="O130" s="50">
        <f t="shared" si="19"/>
        <v>68000</v>
      </c>
      <c r="P130" s="50">
        <v>949990</v>
      </c>
      <c r="Q130" t="s">
        <v>797</v>
      </c>
      <c r="R130" t="e">
        <f>VLOOKUP(B130,#REF!,1,0)</f>
        <v>#REF!</v>
      </c>
      <c r="S130" s="50">
        <v>-5000</v>
      </c>
      <c r="T130" s="50">
        <v>200</v>
      </c>
      <c r="U130" s="50">
        <v>-1400</v>
      </c>
      <c r="V130" s="50">
        <v>-5000</v>
      </c>
      <c r="W130" s="50">
        <v>200</v>
      </c>
      <c r="X130" s="50">
        <v>-1400</v>
      </c>
      <c r="Y130" s="50">
        <v>-5000</v>
      </c>
      <c r="Z130" s="50">
        <v>200</v>
      </c>
      <c r="AA130" s="50">
        <v>-1400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T130" s="50">
        <v>479990</v>
      </c>
      <c r="AU130" s="50">
        <v>30400</v>
      </c>
      <c r="AV130" s="50">
        <v>1027190</v>
      </c>
      <c r="AW130" s="50">
        <v>479990</v>
      </c>
      <c r="AX130" s="50">
        <v>30400</v>
      </c>
      <c r="AY130" s="50">
        <v>1027190</v>
      </c>
      <c r="AZ130" s="50">
        <v>479990</v>
      </c>
      <c r="BA130" s="50">
        <v>30400</v>
      </c>
      <c r="BB130" s="50">
        <v>1027190</v>
      </c>
      <c r="BC130" s="50">
        <v>696000</v>
      </c>
      <c r="BD130" s="50">
        <v>-0.26736070906009535</v>
      </c>
      <c r="BE130" s="50">
        <v>29000</v>
      </c>
      <c r="BF130" s="50">
        <v>696000</v>
      </c>
      <c r="BG130" s="50">
        <v>-0.26736070906009535</v>
      </c>
      <c r="BH130" s="50">
        <v>29000</v>
      </c>
      <c r="BI130" s="50">
        <v>696000</v>
      </c>
      <c r="BJ130" s="50">
        <v>-0.26736070906009535</v>
      </c>
      <c r="BK130" s="50">
        <v>58000</v>
      </c>
      <c r="BL130" s="50">
        <v>816000</v>
      </c>
      <c r="BM130" s="50">
        <v>-0.14104358993252561</v>
      </c>
      <c r="BN130" s="50">
        <v>816000</v>
      </c>
      <c r="BO130" s="50">
        <v>-0.14104358993252561</v>
      </c>
      <c r="BP130" s="50">
        <v>68000</v>
      </c>
      <c r="BQ130" s="50">
        <v>949990</v>
      </c>
      <c r="BR130" s="50" t="s">
        <v>747</v>
      </c>
      <c r="BS130" s="50" t="s">
        <v>748</v>
      </c>
    </row>
    <row r="131" spans="1:71" ht="15.75" customHeight="1" x14ac:dyDescent="0.2">
      <c r="A131" s="25" t="s">
        <v>662</v>
      </c>
      <c r="B131" s="26" t="s">
        <v>663</v>
      </c>
      <c r="C131" s="27" t="s">
        <v>401</v>
      </c>
      <c r="D131" s="50">
        <v>696000</v>
      </c>
      <c r="E131" s="30">
        <f>+(D131-$P131)/$P131</f>
        <v>-0.26736070906009535</v>
      </c>
      <c r="F131" s="50">
        <f t="shared" si="15"/>
        <v>29000</v>
      </c>
      <c r="G131" s="50">
        <v>696000</v>
      </c>
      <c r="H131" s="30">
        <f>+(G131-$P131)/$P131</f>
        <v>-0.26736070906009535</v>
      </c>
      <c r="I131" s="50">
        <f t="shared" si="16"/>
        <v>29000</v>
      </c>
      <c r="J131" s="50">
        <v>696000</v>
      </c>
      <c r="K131" s="30">
        <f>+(J131-$P131)/$P131</f>
        <v>-0.26736070906009535</v>
      </c>
      <c r="L131" s="50">
        <f t="shared" si="17"/>
        <v>58000</v>
      </c>
      <c r="M131" s="50">
        <v>816000</v>
      </c>
      <c r="N131" s="30">
        <f t="shared" si="18"/>
        <v>-0.14104358993252561</v>
      </c>
      <c r="O131" s="50">
        <f t="shared" si="19"/>
        <v>68000</v>
      </c>
      <c r="P131" s="50">
        <v>949990</v>
      </c>
      <c r="Q131" t="s">
        <v>797</v>
      </c>
      <c r="R131" t="e">
        <f>VLOOKUP(B131,#REF!,1,0)</f>
        <v>#REF!</v>
      </c>
      <c r="S131" s="50">
        <v>-5000</v>
      </c>
      <c r="T131" s="50">
        <v>200</v>
      </c>
      <c r="U131" s="50">
        <v>-1400</v>
      </c>
      <c r="V131" s="50">
        <v>-5000</v>
      </c>
      <c r="W131" s="50">
        <v>200</v>
      </c>
      <c r="X131" s="50">
        <v>-1400</v>
      </c>
      <c r="Y131" s="50">
        <v>-5000</v>
      </c>
      <c r="Z131" s="50">
        <v>200</v>
      </c>
      <c r="AA131" s="50">
        <v>-1400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  <c r="AJ131" s="50">
        <v>0</v>
      </c>
      <c r="AK131" s="50">
        <v>0</v>
      </c>
      <c r="AL131" s="50">
        <v>0</v>
      </c>
      <c r="AM131" s="50">
        <v>0</v>
      </c>
      <c r="AN131" s="50">
        <v>0</v>
      </c>
      <c r="AO131" s="50">
        <v>0</v>
      </c>
      <c r="AP131" s="50">
        <v>0</v>
      </c>
      <c r="AQ131" s="50">
        <v>0</v>
      </c>
      <c r="AR131" s="50">
        <v>0</v>
      </c>
      <c r="AT131" s="50">
        <v>479990</v>
      </c>
      <c r="AU131" s="50">
        <v>30400</v>
      </c>
      <c r="AV131" s="50">
        <v>1027190</v>
      </c>
      <c r="AW131" s="50">
        <v>479990</v>
      </c>
      <c r="AX131" s="50">
        <v>30400</v>
      </c>
      <c r="AY131" s="50">
        <v>1027190</v>
      </c>
      <c r="AZ131" s="50">
        <v>479990</v>
      </c>
      <c r="BA131" s="50">
        <v>30400</v>
      </c>
      <c r="BB131" s="50">
        <v>1027190</v>
      </c>
      <c r="BC131" s="50">
        <v>696000</v>
      </c>
      <c r="BD131" s="50">
        <v>-0.26736070906009535</v>
      </c>
      <c r="BE131" s="50">
        <v>29000</v>
      </c>
      <c r="BF131" s="50">
        <v>696000</v>
      </c>
      <c r="BG131" s="50">
        <v>-0.26736070906009535</v>
      </c>
      <c r="BH131" s="50">
        <v>29000</v>
      </c>
      <c r="BI131" s="50">
        <v>696000</v>
      </c>
      <c r="BJ131" s="50">
        <v>-0.26736070906009535</v>
      </c>
      <c r="BK131" s="50">
        <v>58000</v>
      </c>
      <c r="BL131" s="50">
        <v>816000</v>
      </c>
      <c r="BM131" s="50">
        <v>-0.14104358993252561</v>
      </c>
      <c r="BN131" s="50">
        <v>816000</v>
      </c>
      <c r="BO131" s="50">
        <v>-0.14104358993252561</v>
      </c>
      <c r="BP131" s="50">
        <v>68000</v>
      </c>
      <c r="BQ131" s="50">
        <v>949990</v>
      </c>
      <c r="BR131" s="50" t="s">
        <v>747</v>
      </c>
      <c r="BS131" s="50" t="s">
        <v>748</v>
      </c>
    </row>
    <row r="132" spans="1:71" ht="15.75" customHeight="1" x14ac:dyDescent="0.2">
      <c r="A132" s="25" t="s">
        <v>664</v>
      </c>
      <c r="B132" s="26" t="s">
        <v>665</v>
      </c>
      <c r="C132" s="27" t="s">
        <v>401</v>
      </c>
      <c r="D132" s="50">
        <v>696000</v>
      </c>
      <c r="E132" s="30">
        <f>+(D132-$P132)/$P132</f>
        <v>-0.26736070906009535</v>
      </c>
      <c r="F132" s="50">
        <f t="shared" si="15"/>
        <v>29000</v>
      </c>
      <c r="G132" s="50">
        <v>696000</v>
      </c>
      <c r="H132" s="30">
        <f>+(G132-$P132)/$P132</f>
        <v>-0.26736070906009535</v>
      </c>
      <c r="I132" s="50">
        <f t="shared" si="16"/>
        <v>29000</v>
      </c>
      <c r="J132" s="50">
        <v>696000</v>
      </c>
      <c r="K132" s="30">
        <f>+(J132-$P132)/$P132</f>
        <v>-0.26736070906009535</v>
      </c>
      <c r="L132" s="50">
        <f t="shared" si="17"/>
        <v>58000</v>
      </c>
      <c r="M132" s="50">
        <v>816000</v>
      </c>
      <c r="N132" s="30">
        <f t="shared" si="18"/>
        <v>-0.14104358993252561</v>
      </c>
      <c r="O132" s="50">
        <f t="shared" si="19"/>
        <v>68000</v>
      </c>
      <c r="P132" s="50">
        <v>949990</v>
      </c>
      <c r="Q132" t="s">
        <v>797</v>
      </c>
      <c r="R132" t="e">
        <f>VLOOKUP(B132,#REF!,1,0)</f>
        <v>#REF!</v>
      </c>
      <c r="S132" s="50">
        <v>-5000</v>
      </c>
      <c r="T132" s="50">
        <v>200</v>
      </c>
      <c r="U132" s="50">
        <v>-1400</v>
      </c>
      <c r="V132" s="50">
        <v>-5000</v>
      </c>
      <c r="W132" s="50">
        <v>200</v>
      </c>
      <c r="X132" s="50">
        <v>-1400</v>
      </c>
      <c r="Y132" s="50">
        <v>-5000</v>
      </c>
      <c r="Z132" s="50">
        <v>200</v>
      </c>
      <c r="AA132" s="50">
        <v>-1400</v>
      </c>
      <c r="AB132" s="50">
        <v>0</v>
      </c>
      <c r="AC132" s="50">
        <v>0</v>
      </c>
      <c r="AD132" s="50">
        <v>0</v>
      </c>
      <c r="AE132" s="50">
        <v>0</v>
      </c>
      <c r="AF132" s="50">
        <v>0</v>
      </c>
      <c r="AG132" s="50">
        <v>0</v>
      </c>
      <c r="AH132" s="50">
        <v>0</v>
      </c>
      <c r="AI132" s="50">
        <v>0</v>
      </c>
      <c r="AJ132" s="50">
        <v>0</v>
      </c>
      <c r="AK132" s="50">
        <v>0</v>
      </c>
      <c r="AL132" s="50">
        <v>0</v>
      </c>
      <c r="AM132" s="50">
        <v>0</v>
      </c>
      <c r="AN132" s="50">
        <v>0</v>
      </c>
      <c r="AO132" s="50">
        <v>0</v>
      </c>
      <c r="AP132" s="50">
        <v>0</v>
      </c>
      <c r="AQ132" s="50">
        <v>0</v>
      </c>
      <c r="AR132" s="50">
        <v>0</v>
      </c>
      <c r="AT132" s="50">
        <v>479990</v>
      </c>
      <c r="AU132" s="50">
        <v>30400</v>
      </c>
      <c r="AV132" s="50">
        <v>1027190</v>
      </c>
      <c r="AW132" s="50">
        <v>479990</v>
      </c>
      <c r="AX132" s="50">
        <v>30400</v>
      </c>
      <c r="AY132" s="50">
        <v>1027190</v>
      </c>
      <c r="AZ132" s="50">
        <v>479990</v>
      </c>
      <c r="BA132" s="50">
        <v>30400</v>
      </c>
      <c r="BB132" s="50">
        <v>1027190</v>
      </c>
      <c r="BC132" s="50">
        <v>696000</v>
      </c>
      <c r="BD132" s="50">
        <v>-0.26736070906009535</v>
      </c>
      <c r="BE132" s="50">
        <v>29000</v>
      </c>
      <c r="BF132" s="50">
        <v>696000</v>
      </c>
      <c r="BG132" s="50">
        <v>-0.26736070906009535</v>
      </c>
      <c r="BH132" s="50">
        <v>29000</v>
      </c>
      <c r="BI132" s="50">
        <v>696000</v>
      </c>
      <c r="BJ132" s="50">
        <v>-0.26736070906009535</v>
      </c>
      <c r="BK132" s="50">
        <v>58000</v>
      </c>
      <c r="BL132" s="50">
        <v>816000</v>
      </c>
      <c r="BM132" s="50">
        <v>-0.14104358993252561</v>
      </c>
      <c r="BN132" s="50">
        <v>816000</v>
      </c>
      <c r="BO132" s="50">
        <v>-0.14104358993252561</v>
      </c>
      <c r="BP132" s="50">
        <v>68000</v>
      </c>
      <c r="BQ132" s="50">
        <v>949990</v>
      </c>
      <c r="BR132" s="50" t="s">
        <v>747</v>
      </c>
      <c r="BS132" s="50" t="s">
        <v>748</v>
      </c>
    </row>
    <row r="133" spans="1:71" ht="15.75" customHeight="1" x14ac:dyDescent="0.2">
      <c r="A133" s="25" t="s">
        <v>666</v>
      </c>
      <c r="B133" s="26" t="s">
        <v>667</v>
      </c>
      <c r="C133" s="27" t="s">
        <v>401</v>
      </c>
      <c r="D133" s="50">
        <v>672000</v>
      </c>
      <c r="E133" s="30">
        <f>+(D133-$P133)/$P133</f>
        <v>-0.32799327993279931</v>
      </c>
      <c r="F133" s="50">
        <f t="shared" si="15"/>
        <v>28000</v>
      </c>
      <c r="G133" s="50">
        <v>672000</v>
      </c>
      <c r="H133" s="30">
        <f>+(G133-$P133)/$P133</f>
        <v>-0.32799327993279931</v>
      </c>
      <c r="I133" s="50">
        <f t="shared" si="16"/>
        <v>28000</v>
      </c>
      <c r="J133" s="50">
        <v>672000</v>
      </c>
      <c r="K133" s="30">
        <f>+(J133-$P133)/$P133</f>
        <v>-0.32799327993279931</v>
      </c>
      <c r="L133" s="50">
        <f t="shared" si="17"/>
        <v>56000</v>
      </c>
      <c r="M133" s="50">
        <v>792000</v>
      </c>
      <c r="N133" s="30">
        <f t="shared" si="18"/>
        <v>-0.20799207992079921</v>
      </c>
      <c r="O133" s="50">
        <f t="shared" si="19"/>
        <v>66000</v>
      </c>
      <c r="P133" s="50">
        <v>999990</v>
      </c>
      <c r="Q133" t="s">
        <v>798</v>
      </c>
      <c r="R133" t="e">
        <f>VLOOKUP(B133,#REF!,1,0)</f>
        <v>#REF!</v>
      </c>
      <c r="S133" s="50">
        <v>138000</v>
      </c>
      <c r="T133" s="50">
        <v>700</v>
      </c>
      <c r="U133" s="50">
        <v>150600</v>
      </c>
      <c r="V133" s="50">
        <v>-12000</v>
      </c>
      <c r="W133" s="50">
        <v>700</v>
      </c>
      <c r="X133" s="50">
        <v>600</v>
      </c>
      <c r="Y133" s="50">
        <v>-12000</v>
      </c>
      <c r="Z133" s="50">
        <v>700</v>
      </c>
      <c r="AA133" s="50">
        <v>600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60000</v>
      </c>
      <c r="AL133" s="50">
        <v>6.0000600006000049E-2</v>
      </c>
      <c r="AM133" s="50">
        <v>60000</v>
      </c>
      <c r="AN133" s="50">
        <v>6.0000600006000049E-2</v>
      </c>
      <c r="AO133" s="50">
        <v>5000</v>
      </c>
      <c r="AP133" s="50">
        <v>0</v>
      </c>
      <c r="AQ133" s="50">
        <v>0</v>
      </c>
      <c r="AR133" s="50">
        <v>0</v>
      </c>
      <c r="AT133" s="50">
        <v>619990</v>
      </c>
      <c r="AU133" s="50">
        <v>30500</v>
      </c>
      <c r="AV133" s="50">
        <v>1168990</v>
      </c>
      <c r="AW133" s="50">
        <v>469990</v>
      </c>
      <c r="AX133" s="50">
        <v>30500</v>
      </c>
      <c r="AY133" s="50">
        <v>1018990</v>
      </c>
      <c r="AZ133" s="50">
        <v>469990</v>
      </c>
      <c r="BA133" s="50">
        <v>30500</v>
      </c>
      <c r="BB133" s="50">
        <v>1018990</v>
      </c>
      <c r="BC133" s="50">
        <v>672000</v>
      </c>
      <c r="BD133" s="50">
        <v>-0.32799327993279931</v>
      </c>
      <c r="BE133" s="50">
        <v>28000</v>
      </c>
      <c r="BF133" s="50">
        <v>672000</v>
      </c>
      <c r="BG133" s="50">
        <v>-0.32799327993279931</v>
      </c>
      <c r="BH133" s="50">
        <v>28000</v>
      </c>
      <c r="BI133" s="50">
        <v>672000</v>
      </c>
      <c r="BJ133" s="50">
        <v>-0.32799327993279931</v>
      </c>
      <c r="BK133" s="50">
        <v>56000</v>
      </c>
      <c r="BL133" s="50">
        <v>732000</v>
      </c>
      <c r="BM133" s="50">
        <v>-0.26799267992679926</v>
      </c>
      <c r="BN133" s="50">
        <v>732000</v>
      </c>
      <c r="BO133" s="50">
        <v>-0.26799267992679926</v>
      </c>
      <c r="BP133" s="50">
        <v>61000</v>
      </c>
      <c r="BQ133" s="50">
        <v>999990</v>
      </c>
      <c r="BR133" s="50" t="s">
        <v>747</v>
      </c>
      <c r="BS133" s="50" t="s">
        <v>748</v>
      </c>
    </row>
    <row r="134" spans="1:71" ht="15.75" customHeight="1" x14ac:dyDescent="0.2">
      <c r="A134" s="25" t="s">
        <v>668</v>
      </c>
      <c r="B134" s="26" t="s">
        <v>669</v>
      </c>
      <c r="C134" s="27" t="s">
        <v>401</v>
      </c>
      <c r="D134" s="50">
        <v>672000</v>
      </c>
      <c r="E134" s="30">
        <f>+(D134-$P134)/$P134</f>
        <v>-0.32799327993279931</v>
      </c>
      <c r="F134" s="50">
        <f t="shared" si="15"/>
        <v>28000</v>
      </c>
      <c r="G134" s="50">
        <v>672000</v>
      </c>
      <c r="H134" s="30">
        <f>+(G134-$P134)/$P134</f>
        <v>-0.32799327993279931</v>
      </c>
      <c r="I134" s="50">
        <f t="shared" si="16"/>
        <v>28000</v>
      </c>
      <c r="J134" s="50">
        <v>672000</v>
      </c>
      <c r="K134" s="30">
        <f>+(J134-$P134)/$P134</f>
        <v>-0.32799327993279931</v>
      </c>
      <c r="L134" s="50">
        <f t="shared" si="17"/>
        <v>56000</v>
      </c>
      <c r="M134" s="50">
        <v>792000</v>
      </c>
      <c r="N134" s="30">
        <f t="shared" si="18"/>
        <v>-0.20799207992079921</v>
      </c>
      <c r="O134" s="50">
        <f t="shared" si="19"/>
        <v>66000</v>
      </c>
      <c r="P134" s="50">
        <v>999990</v>
      </c>
      <c r="Q134" t="s">
        <v>798</v>
      </c>
      <c r="R134" t="e">
        <f>VLOOKUP(B134,#REF!,1,0)</f>
        <v>#REF!</v>
      </c>
      <c r="S134" s="50">
        <v>138000</v>
      </c>
      <c r="T134" s="50">
        <v>700</v>
      </c>
      <c r="U134" s="50">
        <v>150600</v>
      </c>
      <c r="V134" s="50">
        <v>-12000</v>
      </c>
      <c r="W134" s="50">
        <v>700</v>
      </c>
      <c r="X134" s="50">
        <v>600</v>
      </c>
      <c r="Y134" s="50">
        <v>-12000</v>
      </c>
      <c r="Z134" s="50">
        <v>700</v>
      </c>
      <c r="AA134" s="50">
        <v>600</v>
      </c>
      <c r="AB134" s="50">
        <v>0</v>
      </c>
      <c r="AC134" s="50">
        <v>0</v>
      </c>
      <c r="AD134" s="50">
        <v>0</v>
      </c>
      <c r="AE134" s="50">
        <v>0</v>
      </c>
      <c r="AF134" s="50">
        <v>0</v>
      </c>
      <c r="AG134" s="50">
        <v>0</v>
      </c>
      <c r="AH134" s="50">
        <v>0</v>
      </c>
      <c r="AI134" s="50">
        <v>0</v>
      </c>
      <c r="AJ134" s="50">
        <v>0</v>
      </c>
      <c r="AK134" s="50">
        <v>60000</v>
      </c>
      <c r="AL134" s="50">
        <v>6.0000600006000049E-2</v>
      </c>
      <c r="AM134" s="50">
        <v>60000</v>
      </c>
      <c r="AN134" s="50">
        <v>6.0000600006000049E-2</v>
      </c>
      <c r="AO134" s="50">
        <v>5000</v>
      </c>
      <c r="AP134" s="50">
        <v>0</v>
      </c>
      <c r="AQ134" s="50">
        <v>0</v>
      </c>
      <c r="AR134" s="50">
        <v>0</v>
      </c>
      <c r="AT134" s="50">
        <v>619990</v>
      </c>
      <c r="AU134" s="50">
        <v>30500</v>
      </c>
      <c r="AV134" s="50">
        <v>1168990</v>
      </c>
      <c r="AW134" s="50">
        <v>469990</v>
      </c>
      <c r="AX134" s="50">
        <v>30500</v>
      </c>
      <c r="AY134" s="50">
        <v>1018990</v>
      </c>
      <c r="AZ134" s="50">
        <v>469990</v>
      </c>
      <c r="BA134" s="50">
        <v>30500</v>
      </c>
      <c r="BB134" s="50">
        <v>1018990</v>
      </c>
      <c r="BC134" s="50">
        <v>672000</v>
      </c>
      <c r="BD134" s="50">
        <v>-0.32799327993279931</v>
      </c>
      <c r="BE134" s="50">
        <v>28000</v>
      </c>
      <c r="BF134" s="50">
        <v>672000</v>
      </c>
      <c r="BG134" s="50">
        <v>-0.32799327993279931</v>
      </c>
      <c r="BH134" s="50">
        <v>28000</v>
      </c>
      <c r="BI134" s="50">
        <v>672000</v>
      </c>
      <c r="BJ134" s="50">
        <v>-0.32799327993279931</v>
      </c>
      <c r="BK134" s="50">
        <v>56000</v>
      </c>
      <c r="BL134" s="50">
        <v>732000</v>
      </c>
      <c r="BM134" s="50">
        <v>-0.26799267992679926</v>
      </c>
      <c r="BN134" s="50">
        <v>732000</v>
      </c>
      <c r="BO134" s="50">
        <v>-0.26799267992679926</v>
      </c>
      <c r="BP134" s="50">
        <v>61000</v>
      </c>
      <c r="BQ134" s="50">
        <v>999990</v>
      </c>
      <c r="BR134" s="50" t="s">
        <v>747</v>
      </c>
      <c r="BS134" s="50" t="s">
        <v>748</v>
      </c>
    </row>
    <row r="135" spans="1:71" ht="15.75" customHeight="1" x14ac:dyDescent="0.2">
      <c r="A135" s="25" t="s">
        <v>670</v>
      </c>
      <c r="B135" s="26" t="s">
        <v>671</v>
      </c>
      <c r="C135" s="27" t="s">
        <v>401</v>
      </c>
      <c r="D135" s="50">
        <v>672000</v>
      </c>
      <c r="E135" s="30">
        <f>+(D135-$P135)/$P135</f>
        <v>-0.32799327993279931</v>
      </c>
      <c r="F135" s="50">
        <f t="shared" si="15"/>
        <v>28000</v>
      </c>
      <c r="G135" s="50">
        <v>672000</v>
      </c>
      <c r="H135" s="30">
        <f>+(G135-$P135)/$P135</f>
        <v>-0.32799327993279931</v>
      </c>
      <c r="I135" s="50">
        <f t="shared" si="16"/>
        <v>28000</v>
      </c>
      <c r="J135" s="50">
        <v>672000</v>
      </c>
      <c r="K135" s="30">
        <f>+(J135-$P135)/$P135</f>
        <v>-0.32799327993279931</v>
      </c>
      <c r="L135" s="50">
        <f t="shared" si="17"/>
        <v>56000</v>
      </c>
      <c r="M135" s="50">
        <v>792000</v>
      </c>
      <c r="N135" s="30">
        <f t="shared" si="18"/>
        <v>-0.20799207992079921</v>
      </c>
      <c r="O135" s="50">
        <f t="shared" si="19"/>
        <v>66000</v>
      </c>
      <c r="P135" s="50">
        <v>999990</v>
      </c>
      <c r="Q135" t="s">
        <v>798</v>
      </c>
      <c r="R135" t="e">
        <f>VLOOKUP(B135,#REF!,1,0)</f>
        <v>#REF!</v>
      </c>
      <c r="S135" s="50">
        <v>138000</v>
      </c>
      <c r="T135" s="50">
        <v>700</v>
      </c>
      <c r="U135" s="50">
        <v>150600</v>
      </c>
      <c r="V135" s="50">
        <v>-12000</v>
      </c>
      <c r="W135" s="50">
        <v>700</v>
      </c>
      <c r="X135" s="50">
        <v>600</v>
      </c>
      <c r="Y135" s="50">
        <v>-12000</v>
      </c>
      <c r="Z135" s="50">
        <v>700</v>
      </c>
      <c r="AA135" s="50">
        <v>600</v>
      </c>
      <c r="AB135" s="50">
        <v>0</v>
      </c>
      <c r="AC135" s="50">
        <v>0</v>
      </c>
      <c r="AD135" s="50">
        <v>0</v>
      </c>
      <c r="AE135" s="50">
        <v>0</v>
      </c>
      <c r="AF135" s="50">
        <v>0</v>
      </c>
      <c r="AG135" s="50">
        <v>0</v>
      </c>
      <c r="AH135" s="50">
        <v>0</v>
      </c>
      <c r="AI135" s="50">
        <v>0</v>
      </c>
      <c r="AJ135" s="50">
        <v>0</v>
      </c>
      <c r="AK135" s="50">
        <v>60000</v>
      </c>
      <c r="AL135" s="50">
        <v>6.0000600006000049E-2</v>
      </c>
      <c r="AM135" s="50">
        <v>60000</v>
      </c>
      <c r="AN135" s="50">
        <v>6.0000600006000049E-2</v>
      </c>
      <c r="AO135" s="50">
        <v>5000</v>
      </c>
      <c r="AP135" s="50">
        <v>0</v>
      </c>
      <c r="AQ135" s="50">
        <v>0</v>
      </c>
      <c r="AR135" s="50">
        <v>0</v>
      </c>
      <c r="AT135" s="50">
        <v>619990</v>
      </c>
      <c r="AU135" s="50">
        <v>30500</v>
      </c>
      <c r="AV135" s="50">
        <v>1168990</v>
      </c>
      <c r="AW135" s="50">
        <v>469990</v>
      </c>
      <c r="AX135" s="50">
        <v>30500</v>
      </c>
      <c r="AY135" s="50">
        <v>1018990</v>
      </c>
      <c r="AZ135" s="50">
        <v>469990</v>
      </c>
      <c r="BA135" s="50">
        <v>30500</v>
      </c>
      <c r="BB135" s="50">
        <v>1018990</v>
      </c>
      <c r="BC135" s="50">
        <v>672000</v>
      </c>
      <c r="BD135" s="50">
        <v>-0.32799327993279931</v>
      </c>
      <c r="BE135" s="50">
        <v>28000</v>
      </c>
      <c r="BF135" s="50">
        <v>672000</v>
      </c>
      <c r="BG135" s="50">
        <v>-0.32799327993279931</v>
      </c>
      <c r="BH135" s="50">
        <v>28000</v>
      </c>
      <c r="BI135" s="50">
        <v>672000</v>
      </c>
      <c r="BJ135" s="50">
        <v>-0.32799327993279931</v>
      </c>
      <c r="BK135" s="50">
        <v>56000</v>
      </c>
      <c r="BL135" s="50">
        <v>732000</v>
      </c>
      <c r="BM135" s="50">
        <v>-0.26799267992679926</v>
      </c>
      <c r="BN135" s="50">
        <v>732000</v>
      </c>
      <c r="BO135" s="50">
        <v>-0.26799267992679926</v>
      </c>
      <c r="BP135" s="50">
        <v>61000</v>
      </c>
      <c r="BQ135" s="50">
        <v>999990</v>
      </c>
      <c r="BR135" s="50" t="s">
        <v>747</v>
      </c>
      <c r="BS135" s="50" t="s">
        <v>748</v>
      </c>
    </row>
    <row r="136" spans="1:71" ht="15.75" customHeight="1" x14ac:dyDescent="0.2">
      <c r="A136" s="25" t="s">
        <v>672</v>
      </c>
      <c r="B136" s="26" t="s">
        <v>673</v>
      </c>
      <c r="C136" s="27" t="s">
        <v>401</v>
      </c>
      <c r="D136" s="50">
        <v>672000</v>
      </c>
      <c r="E136" s="30">
        <f>+(D136-$P136)/$P136</f>
        <v>-0.32799327993279931</v>
      </c>
      <c r="F136" s="50">
        <f t="shared" si="15"/>
        <v>28000</v>
      </c>
      <c r="G136" s="50">
        <v>672000</v>
      </c>
      <c r="H136" s="30">
        <f>+(G136-$P136)/$P136</f>
        <v>-0.32799327993279931</v>
      </c>
      <c r="I136" s="50">
        <f t="shared" si="16"/>
        <v>28000</v>
      </c>
      <c r="J136" s="50">
        <v>672000</v>
      </c>
      <c r="K136" s="30">
        <f>+(J136-$P136)/$P136</f>
        <v>-0.32799327993279931</v>
      </c>
      <c r="L136" s="50">
        <f t="shared" si="17"/>
        <v>56000</v>
      </c>
      <c r="M136" s="50">
        <v>792000</v>
      </c>
      <c r="N136" s="30">
        <f t="shared" si="18"/>
        <v>-0.20799207992079921</v>
      </c>
      <c r="O136" s="50">
        <f t="shared" si="19"/>
        <v>66000</v>
      </c>
      <c r="P136" s="50">
        <v>999990</v>
      </c>
      <c r="Q136" t="s">
        <v>798</v>
      </c>
      <c r="R136" t="e">
        <f>VLOOKUP(B136,#REF!,1,0)</f>
        <v>#REF!</v>
      </c>
      <c r="S136" s="50">
        <v>138000</v>
      </c>
      <c r="T136" s="50">
        <v>700</v>
      </c>
      <c r="U136" s="50">
        <v>150600</v>
      </c>
      <c r="V136" s="50">
        <v>-12000</v>
      </c>
      <c r="W136" s="50">
        <v>700</v>
      </c>
      <c r="X136" s="50">
        <v>600</v>
      </c>
      <c r="Y136" s="50">
        <v>-12000</v>
      </c>
      <c r="Z136" s="50">
        <v>700</v>
      </c>
      <c r="AA136" s="50">
        <v>600</v>
      </c>
      <c r="AB136" s="50">
        <v>0</v>
      </c>
      <c r="AC136" s="50">
        <v>0</v>
      </c>
      <c r="AD136" s="50">
        <v>0</v>
      </c>
      <c r="AE136" s="50">
        <v>0</v>
      </c>
      <c r="AF136" s="50">
        <v>0</v>
      </c>
      <c r="AG136" s="50">
        <v>0</v>
      </c>
      <c r="AH136" s="50">
        <v>0</v>
      </c>
      <c r="AI136" s="50">
        <v>0</v>
      </c>
      <c r="AJ136" s="50">
        <v>0</v>
      </c>
      <c r="AK136" s="50">
        <v>60000</v>
      </c>
      <c r="AL136" s="50">
        <v>6.0000600006000049E-2</v>
      </c>
      <c r="AM136" s="50">
        <v>60000</v>
      </c>
      <c r="AN136" s="50">
        <v>6.0000600006000049E-2</v>
      </c>
      <c r="AO136" s="50">
        <v>5000</v>
      </c>
      <c r="AP136" s="50">
        <v>0</v>
      </c>
      <c r="AQ136" s="50">
        <v>0</v>
      </c>
      <c r="AR136" s="50">
        <v>0</v>
      </c>
      <c r="AT136" s="50">
        <v>619990</v>
      </c>
      <c r="AU136" s="50">
        <v>30500</v>
      </c>
      <c r="AV136" s="50">
        <v>1168990</v>
      </c>
      <c r="AW136" s="50">
        <v>469990</v>
      </c>
      <c r="AX136" s="50">
        <v>30500</v>
      </c>
      <c r="AY136" s="50">
        <v>1018990</v>
      </c>
      <c r="AZ136" s="50">
        <v>469990</v>
      </c>
      <c r="BA136" s="50">
        <v>30500</v>
      </c>
      <c r="BB136" s="50">
        <v>1018990</v>
      </c>
      <c r="BC136" s="50">
        <v>672000</v>
      </c>
      <c r="BD136" s="50">
        <v>-0.32799327993279931</v>
      </c>
      <c r="BE136" s="50">
        <v>28000</v>
      </c>
      <c r="BF136" s="50">
        <v>672000</v>
      </c>
      <c r="BG136" s="50">
        <v>-0.32799327993279931</v>
      </c>
      <c r="BH136" s="50">
        <v>28000</v>
      </c>
      <c r="BI136" s="50">
        <v>672000</v>
      </c>
      <c r="BJ136" s="50">
        <v>-0.32799327993279931</v>
      </c>
      <c r="BK136" s="50">
        <v>56000</v>
      </c>
      <c r="BL136" s="50">
        <v>732000</v>
      </c>
      <c r="BM136" s="50">
        <v>-0.26799267992679926</v>
      </c>
      <c r="BN136" s="50">
        <v>732000</v>
      </c>
      <c r="BO136" s="50">
        <v>-0.26799267992679926</v>
      </c>
      <c r="BP136" s="50">
        <v>61000</v>
      </c>
      <c r="BQ136" s="50">
        <v>999990</v>
      </c>
      <c r="BR136" s="50" t="s">
        <v>747</v>
      </c>
      <c r="BS136" s="50" t="s">
        <v>748</v>
      </c>
    </row>
    <row r="137" spans="1:71" ht="15.75" customHeight="1" x14ac:dyDescent="0.2">
      <c r="A137" s="25" t="s">
        <v>674</v>
      </c>
      <c r="B137" s="26" t="s">
        <v>675</v>
      </c>
      <c r="C137" s="27" t="s">
        <v>401</v>
      </c>
      <c r="D137" s="50">
        <v>672000</v>
      </c>
      <c r="E137" s="30">
        <f>+(D137-$P137)/$P137</f>
        <v>-0.32799327993279931</v>
      </c>
      <c r="F137" s="50">
        <f t="shared" si="15"/>
        <v>28000</v>
      </c>
      <c r="G137" s="50">
        <v>672000</v>
      </c>
      <c r="H137" s="30">
        <f>+(G137-$P137)/$P137</f>
        <v>-0.32799327993279931</v>
      </c>
      <c r="I137" s="50">
        <f t="shared" si="16"/>
        <v>28000</v>
      </c>
      <c r="J137" s="50">
        <v>672000</v>
      </c>
      <c r="K137" s="30">
        <f>+(J137-$P137)/$P137</f>
        <v>-0.32799327993279931</v>
      </c>
      <c r="L137" s="50">
        <f t="shared" si="17"/>
        <v>56000</v>
      </c>
      <c r="M137" s="50">
        <v>792000</v>
      </c>
      <c r="N137" s="30">
        <f t="shared" si="18"/>
        <v>-0.20799207992079921</v>
      </c>
      <c r="O137" s="50">
        <f t="shared" si="19"/>
        <v>66000</v>
      </c>
      <c r="P137" s="50">
        <v>999990</v>
      </c>
      <c r="Q137" t="s">
        <v>798</v>
      </c>
      <c r="R137" t="e">
        <f>VLOOKUP(B137,#REF!,1,0)</f>
        <v>#REF!</v>
      </c>
      <c r="S137" s="50">
        <v>138000</v>
      </c>
      <c r="T137" s="50">
        <v>700</v>
      </c>
      <c r="U137" s="50">
        <v>150600</v>
      </c>
      <c r="V137" s="50">
        <v>-12000</v>
      </c>
      <c r="W137" s="50">
        <v>700</v>
      </c>
      <c r="X137" s="50">
        <v>600</v>
      </c>
      <c r="Y137" s="50">
        <v>-12000</v>
      </c>
      <c r="Z137" s="50">
        <v>700</v>
      </c>
      <c r="AA137" s="50">
        <v>600</v>
      </c>
      <c r="AB137" s="50">
        <v>0</v>
      </c>
      <c r="AC137" s="50">
        <v>0</v>
      </c>
      <c r="AD137" s="50">
        <v>0</v>
      </c>
      <c r="AE137" s="50">
        <v>0</v>
      </c>
      <c r="AF137" s="50">
        <v>0</v>
      </c>
      <c r="AG137" s="50">
        <v>0</v>
      </c>
      <c r="AH137" s="50">
        <v>0</v>
      </c>
      <c r="AI137" s="50">
        <v>0</v>
      </c>
      <c r="AJ137" s="50">
        <v>0</v>
      </c>
      <c r="AK137" s="50">
        <v>60000</v>
      </c>
      <c r="AL137" s="50">
        <v>6.0000600006000049E-2</v>
      </c>
      <c r="AM137" s="50">
        <v>60000</v>
      </c>
      <c r="AN137" s="50">
        <v>6.0000600006000049E-2</v>
      </c>
      <c r="AO137" s="50">
        <v>5000</v>
      </c>
      <c r="AP137" s="50">
        <v>0</v>
      </c>
      <c r="AQ137" s="50">
        <v>0</v>
      </c>
      <c r="AR137" s="50">
        <v>0</v>
      </c>
      <c r="AT137" s="50">
        <v>619990</v>
      </c>
      <c r="AU137" s="50">
        <v>30500</v>
      </c>
      <c r="AV137" s="50">
        <v>1168990</v>
      </c>
      <c r="AW137" s="50">
        <v>469990</v>
      </c>
      <c r="AX137" s="50">
        <v>30500</v>
      </c>
      <c r="AY137" s="50">
        <v>1018990</v>
      </c>
      <c r="AZ137" s="50">
        <v>469990</v>
      </c>
      <c r="BA137" s="50">
        <v>30500</v>
      </c>
      <c r="BB137" s="50">
        <v>1018990</v>
      </c>
      <c r="BC137" s="50">
        <v>672000</v>
      </c>
      <c r="BD137" s="50">
        <v>-0.32799327993279931</v>
      </c>
      <c r="BE137" s="50">
        <v>28000</v>
      </c>
      <c r="BF137" s="50">
        <v>672000</v>
      </c>
      <c r="BG137" s="50">
        <v>-0.32799327993279931</v>
      </c>
      <c r="BH137" s="50">
        <v>28000</v>
      </c>
      <c r="BI137" s="50">
        <v>672000</v>
      </c>
      <c r="BJ137" s="50">
        <v>-0.32799327993279931</v>
      </c>
      <c r="BK137" s="50">
        <v>56000</v>
      </c>
      <c r="BL137" s="50">
        <v>732000</v>
      </c>
      <c r="BM137" s="50">
        <v>-0.26799267992679926</v>
      </c>
      <c r="BN137" s="50">
        <v>732000</v>
      </c>
      <c r="BO137" s="50">
        <v>-0.26799267992679926</v>
      </c>
      <c r="BP137" s="50">
        <v>61000</v>
      </c>
      <c r="BQ137" s="50">
        <v>999990</v>
      </c>
      <c r="BR137" s="50" t="s">
        <v>747</v>
      </c>
      <c r="BS137" s="50" t="s">
        <v>748</v>
      </c>
    </row>
    <row r="138" spans="1:71" ht="15.75" customHeight="1" x14ac:dyDescent="0.2">
      <c r="A138" s="25" t="s">
        <v>676</v>
      </c>
      <c r="B138" s="26" t="s">
        <v>677</v>
      </c>
      <c r="C138" s="27" t="s">
        <v>401</v>
      </c>
      <c r="D138" s="50">
        <v>600000</v>
      </c>
      <c r="E138" s="30">
        <f>+(D138-$P138)/$P138</f>
        <v>-0.3999939999399994</v>
      </c>
      <c r="F138" s="50">
        <f t="shared" si="15"/>
        <v>25000</v>
      </c>
      <c r="G138" s="50">
        <v>600000</v>
      </c>
      <c r="H138" s="30">
        <f>+(G138-$P138)/$P138</f>
        <v>-0.3999939999399994</v>
      </c>
      <c r="I138" s="50">
        <f t="shared" si="16"/>
        <v>25000</v>
      </c>
      <c r="J138" s="50">
        <v>600000</v>
      </c>
      <c r="K138" s="30">
        <f>+(J138-$P138)/$P138</f>
        <v>-0.3999939999399994</v>
      </c>
      <c r="L138" s="50">
        <f t="shared" si="17"/>
        <v>50000</v>
      </c>
      <c r="M138" s="50">
        <v>624000</v>
      </c>
      <c r="N138" s="30">
        <f t="shared" si="18"/>
        <v>-0.37599375993759937</v>
      </c>
      <c r="O138" s="50">
        <f t="shared" si="19"/>
        <v>52000</v>
      </c>
      <c r="P138" s="50">
        <v>999990</v>
      </c>
      <c r="Q138" t="s">
        <v>799</v>
      </c>
      <c r="R138" t="e">
        <f>VLOOKUP(B138,#REF!,1,0)</f>
        <v>#REF!</v>
      </c>
      <c r="S138" s="50">
        <v>-32000</v>
      </c>
      <c r="T138" s="50">
        <v>4600</v>
      </c>
      <c r="U138" s="50">
        <v>50800</v>
      </c>
      <c r="V138" s="50">
        <v>-82000</v>
      </c>
      <c r="W138" s="50">
        <v>4600</v>
      </c>
      <c r="X138" s="50">
        <v>800</v>
      </c>
      <c r="Y138" s="50">
        <v>-82000</v>
      </c>
      <c r="Z138" s="50">
        <v>4600</v>
      </c>
      <c r="AA138" s="50">
        <v>800</v>
      </c>
      <c r="AB138" s="50">
        <v>0</v>
      </c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T138" s="50">
        <v>559990</v>
      </c>
      <c r="AU138" s="50">
        <v>32800</v>
      </c>
      <c r="AV138" s="50">
        <v>1150390</v>
      </c>
      <c r="AW138" s="50">
        <v>509990</v>
      </c>
      <c r="AX138" s="50">
        <v>32800</v>
      </c>
      <c r="AY138" s="50">
        <v>1100390</v>
      </c>
      <c r="AZ138" s="50">
        <v>509990</v>
      </c>
      <c r="BA138" s="50">
        <v>32800</v>
      </c>
      <c r="BB138" s="50">
        <v>1100390</v>
      </c>
      <c r="BC138" s="50">
        <v>600000</v>
      </c>
      <c r="BD138" s="50">
        <v>-0.3999939999399994</v>
      </c>
      <c r="BE138" s="50">
        <v>25000</v>
      </c>
      <c r="BF138" s="50">
        <v>600000</v>
      </c>
      <c r="BG138" s="50">
        <v>-0.3999939999399994</v>
      </c>
      <c r="BH138" s="50">
        <v>25000</v>
      </c>
      <c r="BI138" s="50">
        <v>600000</v>
      </c>
      <c r="BJ138" s="50">
        <v>-0.3999939999399994</v>
      </c>
      <c r="BK138" s="50">
        <v>50000</v>
      </c>
      <c r="BL138" s="50">
        <v>624000</v>
      </c>
      <c r="BM138" s="50">
        <v>-0.37599375993759937</v>
      </c>
      <c r="BN138" s="50">
        <v>624000</v>
      </c>
      <c r="BO138" s="50">
        <v>-0.37599375993759937</v>
      </c>
      <c r="BP138" s="50">
        <v>52000</v>
      </c>
      <c r="BQ138" s="50">
        <v>999990</v>
      </c>
      <c r="BR138" s="50" t="s">
        <v>747</v>
      </c>
      <c r="BS138" s="50" t="s">
        <v>748</v>
      </c>
    </row>
    <row r="139" spans="1:71" ht="15.75" customHeight="1" x14ac:dyDescent="0.2">
      <c r="A139" s="25" t="s">
        <v>678</v>
      </c>
      <c r="B139" s="26" t="s">
        <v>679</v>
      </c>
      <c r="C139" s="27" t="s">
        <v>401</v>
      </c>
      <c r="D139" s="50">
        <v>897600</v>
      </c>
      <c r="E139" s="30">
        <f>+(D139-$P139)/$P139</f>
        <v>-0.1023910239102391</v>
      </c>
      <c r="F139" s="50">
        <f t="shared" si="15"/>
        <v>37400</v>
      </c>
      <c r="G139" s="50">
        <v>897600</v>
      </c>
      <c r="H139" s="30">
        <f>+(G139-$P139)/$P139</f>
        <v>-0.1023910239102391</v>
      </c>
      <c r="I139" s="50">
        <f t="shared" si="16"/>
        <v>37400</v>
      </c>
      <c r="J139" s="50">
        <v>897600</v>
      </c>
      <c r="K139" s="30">
        <f>+(J139-$P139)/$P139</f>
        <v>-0.1023910239102391</v>
      </c>
      <c r="L139" s="50">
        <f t="shared" si="17"/>
        <v>74800</v>
      </c>
      <c r="M139" s="50">
        <v>1017600</v>
      </c>
      <c r="N139" s="30">
        <f t="shared" si="18"/>
        <v>1.7610176101761018E-2</v>
      </c>
      <c r="O139" s="50">
        <f t="shared" si="19"/>
        <v>84800</v>
      </c>
      <c r="P139" s="50">
        <v>999990</v>
      </c>
      <c r="Q139" t="s">
        <v>800</v>
      </c>
      <c r="R139" t="e">
        <f>VLOOKUP(B139,#REF!,1,0)</f>
        <v>#REF!</v>
      </c>
      <c r="S139" s="50">
        <v>88000</v>
      </c>
      <c r="T139" s="50">
        <v>700</v>
      </c>
      <c r="U139" s="50">
        <v>100600</v>
      </c>
      <c r="V139" s="50">
        <v>-12000</v>
      </c>
      <c r="W139" s="50">
        <v>700</v>
      </c>
      <c r="X139" s="50">
        <v>600</v>
      </c>
      <c r="Y139" s="50">
        <v>-12000</v>
      </c>
      <c r="Z139" s="50">
        <v>700</v>
      </c>
      <c r="AA139" s="50">
        <v>600</v>
      </c>
      <c r="AB139" s="50">
        <v>-67200</v>
      </c>
      <c r="AC139" s="50">
        <v>-6.7200672006720072E-2</v>
      </c>
      <c r="AD139" s="50">
        <v>-2800</v>
      </c>
      <c r="AE139" s="50">
        <v>-67200</v>
      </c>
      <c r="AF139" s="50">
        <v>-6.7200672006720072E-2</v>
      </c>
      <c r="AG139" s="50">
        <v>-2800</v>
      </c>
      <c r="AH139" s="50">
        <v>-67200</v>
      </c>
      <c r="AI139" s="50">
        <v>-6.7200672006720072E-2</v>
      </c>
      <c r="AJ139" s="50">
        <v>-5600</v>
      </c>
      <c r="AK139" s="50">
        <v>28800</v>
      </c>
      <c r="AL139" s="50">
        <v>2.880028800288003E-2</v>
      </c>
      <c r="AM139" s="50">
        <v>28800</v>
      </c>
      <c r="AN139" s="50">
        <v>2.880028800288003E-2</v>
      </c>
      <c r="AO139" s="50">
        <v>2400</v>
      </c>
      <c r="AP139" s="50">
        <v>0</v>
      </c>
      <c r="AQ139" s="50">
        <v>0</v>
      </c>
      <c r="AR139" s="50">
        <v>0</v>
      </c>
      <c r="AT139" s="50">
        <v>729990</v>
      </c>
      <c r="AU139" s="50">
        <v>40400</v>
      </c>
      <c r="AV139" s="50">
        <v>1457190</v>
      </c>
      <c r="AW139" s="50">
        <v>629990</v>
      </c>
      <c r="AX139" s="50">
        <v>40400</v>
      </c>
      <c r="AY139" s="50">
        <v>1357190</v>
      </c>
      <c r="AZ139" s="50">
        <v>629990</v>
      </c>
      <c r="BA139" s="50">
        <v>40400</v>
      </c>
      <c r="BB139" s="50">
        <v>1357190</v>
      </c>
      <c r="BC139" s="50">
        <v>964800</v>
      </c>
      <c r="BD139" s="50">
        <v>-3.5190351903519032E-2</v>
      </c>
      <c r="BE139" s="50">
        <v>40200</v>
      </c>
      <c r="BF139" s="50">
        <v>964800</v>
      </c>
      <c r="BG139" s="50">
        <v>-3.5190351903519032E-2</v>
      </c>
      <c r="BH139" s="50">
        <v>40200</v>
      </c>
      <c r="BI139" s="50">
        <v>964800</v>
      </c>
      <c r="BJ139" s="50">
        <v>-3.5190351903519032E-2</v>
      </c>
      <c r="BK139" s="50">
        <v>80400</v>
      </c>
      <c r="BL139" s="50">
        <v>988800</v>
      </c>
      <c r="BM139" s="50">
        <v>-1.1190111901119012E-2</v>
      </c>
      <c r="BN139" s="50">
        <v>988800</v>
      </c>
      <c r="BO139" s="50">
        <v>-1.1190111901119012E-2</v>
      </c>
      <c r="BP139" s="50">
        <v>82400</v>
      </c>
      <c r="BQ139" s="50">
        <v>999990</v>
      </c>
      <c r="BR139" s="50" t="s">
        <v>747</v>
      </c>
      <c r="BS139" s="50" t="s">
        <v>748</v>
      </c>
    </row>
    <row r="140" spans="1:71" ht="15.75" customHeight="1" x14ac:dyDescent="0.2">
      <c r="A140" s="25" t="s">
        <v>680</v>
      </c>
      <c r="B140" s="26" t="s">
        <v>681</v>
      </c>
      <c r="C140" s="27" t="s">
        <v>401</v>
      </c>
      <c r="D140" s="50">
        <v>897600</v>
      </c>
      <c r="E140" s="30">
        <f>+(D140-$P140)/$P140</f>
        <v>-0.1023910239102391</v>
      </c>
      <c r="F140" s="50">
        <f t="shared" si="15"/>
        <v>37400</v>
      </c>
      <c r="G140" s="50">
        <v>897600</v>
      </c>
      <c r="H140" s="30">
        <f>+(G140-$P140)/$P140</f>
        <v>-0.1023910239102391</v>
      </c>
      <c r="I140" s="50">
        <f t="shared" si="16"/>
        <v>37400</v>
      </c>
      <c r="J140" s="50">
        <v>897600</v>
      </c>
      <c r="K140" s="30">
        <f>+(J140-$P140)/$P140</f>
        <v>-0.1023910239102391</v>
      </c>
      <c r="L140" s="50">
        <f t="shared" si="17"/>
        <v>74800</v>
      </c>
      <c r="M140" s="50">
        <v>1017600</v>
      </c>
      <c r="N140" s="30">
        <f t="shared" si="18"/>
        <v>1.7610176101761018E-2</v>
      </c>
      <c r="O140" s="50">
        <f t="shared" si="19"/>
        <v>84800</v>
      </c>
      <c r="P140" s="50">
        <v>999990</v>
      </c>
      <c r="Q140" t="s">
        <v>800</v>
      </c>
      <c r="R140" t="e">
        <f>VLOOKUP(B140,#REF!,1,0)</f>
        <v>#REF!</v>
      </c>
      <c r="S140" s="50">
        <v>88000</v>
      </c>
      <c r="T140" s="50">
        <v>700</v>
      </c>
      <c r="U140" s="50">
        <v>100600</v>
      </c>
      <c r="V140" s="50">
        <v>-12000</v>
      </c>
      <c r="W140" s="50">
        <v>700</v>
      </c>
      <c r="X140" s="50">
        <v>600</v>
      </c>
      <c r="Y140" s="50">
        <v>-12000</v>
      </c>
      <c r="Z140" s="50">
        <v>700</v>
      </c>
      <c r="AA140" s="50">
        <v>600</v>
      </c>
      <c r="AB140" s="50">
        <v>-67200</v>
      </c>
      <c r="AC140" s="50">
        <v>-6.7200672006720072E-2</v>
      </c>
      <c r="AD140" s="50">
        <v>-2800</v>
      </c>
      <c r="AE140" s="50">
        <v>-67200</v>
      </c>
      <c r="AF140" s="50">
        <v>-6.7200672006720072E-2</v>
      </c>
      <c r="AG140" s="50">
        <v>-2800</v>
      </c>
      <c r="AH140" s="50">
        <v>-67200</v>
      </c>
      <c r="AI140" s="50">
        <v>-6.7200672006720072E-2</v>
      </c>
      <c r="AJ140" s="50">
        <v>-5600</v>
      </c>
      <c r="AK140" s="50">
        <v>28800</v>
      </c>
      <c r="AL140" s="50">
        <v>2.880028800288003E-2</v>
      </c>
      <c r="AM140" s="50">
        <v>28800</v>
      </c>
      <c r="AN140" s="50">
        <v>2.880028800288003E-2</v>
      </c>
      <c r="AO140" s="50">
        <v>2400</v>
      </c>
      <c r="AP140" s="50">
        <v>0</v>
      </c>
      <c r="AQ140" s="50">
        <v>0</v>
      </c>
      <c r="AR140" s="50">
        <v>0</v>
      </c>
      <c r="AT140" s="50">
        <v>729990</v>
      </c>
      <c r="AU140" s="50">
        <v>40400</v>
      </c>
      <c r="AV140" s="50">
        <v>1457190</v>
      </c>
      <c r="AW140" s="50">
        <v>629990</v>
      </c>
      <c r="AX140" s="50">
        <v>40400</v>
      </c>
      <c r="AY140" s="50">
        <v>1357190</v>
      </c>
      <c r="AZ140" s="50">
        <v>629990</v>
      </c>
      <c r="BA140" s="50">
        <v>40400</v>
      </c>
      <c r="BB140" s="50">
        <v>1357190</v>
      </c>
      <c r="BC140" s="50">
        <v>964800</v>
      </c>
      <c r="BD140" s="50">
        <v>-3.5190351903519032E-2</v>
      </c>
      <c r="BE140" s="50">
        <v>40200</v>
      </c>
      <c r="BF140" s="50">
        <v>964800</v>
      </c>
      <c r="BG140" s="50">
        <v>-3.5190351903519032E-2</v>
      </c>
      <c r="BH140" s="50">
        <v>40200</v>
      </c>
      <c r="BI140" s="50">
        <v>964800</v>
      </c>
      <c r="BJ140" s="50">
        <v>-3.5190351903519032E-2</v>
      </c>
      <c r="BK140" s="50">
        <v>80400</v>
      </c>
      <c r="BL140" s="50">
        <v>988800</v>
      </c>
      <c r="BM140" s="50">
        <v>-1.1190111901119012E-2</v>
      </c>
      <c r="BN140" s="50">
        <v>988800</v>
      </c>
      <c r="BO140" s="50">
        <v>-1.1190111901119012E-2</v>
      </c>
      <c r="BP140" s="50">
        <v>82400</v>
      </c>
      <c r="BQ140" s="50">
        <v>999990</v>
      </c>
      <c r="BR140" s="50" t="s">
        <v>747</v>
      </c>
      <c r="BS140" s="50" t="s">
        <v>748</v>
      </c>
    </row>
    <row r="141" spans="1:71" ht="15.75" customHeight="1" x14ac:dyDescent="0.2">
      <c r="A141" s="25" t="s">
        <v>682</v>
      </c>
      <c r="B141" s="26" t="s">
        <v>683</v>
      </c>
      <c r="C141" s="27" t="s">
        <v>401</v>
      </c>
      <c r="D141" s="50">
        <v>897600</v>
      </c>
      <c r="E141" s="30">
        <f>+(D141-$P141)/$P141</f>
        <v>-0.1023910239102391</v>
      </c>
      <c r="F141" s="50">
        <f t="shared" si="15"/>
        <v>37400</v>
      </c>
      <c r="G141" s="50">
        <v>897600</v>
      </c>
      <c r="H141" s="30">
        <f>+(G141-$P141)/$P141</f>
        <v>-0.1023910239102391</v>
      </c>
      <c r="I141" s="50">
        <f t="shared" si="16"/>
        <v>37400</v>
      </c>
      <c r="J141" s="50">
        <v>897600</v>
      </c>
      <c r="K141" s="30">
        <f>+(J141-$P141)/$P141</f>
        <v>-0.1023910239102391</v>
      </c>
      <c r="L141" s="50">
        <f t="shared" si="17"/>
        <v>74800</v>
      </c>
      <c r="M141" s="50">
        <v>1017600</v>
      </c>
      <c r="N141" s="30">
        <f t="shared" si="18"/>
        <v>1.7610176101761018E-2</v>
      </c>
      <c r="O141" s="50">
        <f t="shared" si="19"/>
        <v>84800</v>
      </c>
      <c r="P141" s="50">
        <v>999990</v>
      </c>
      <c r="Q141" t="s">
        <v>800</v>
      </c>
      <c r="R141" t="e">
        <f>VLOOKUP(B141,#REF!,1,0)</f>
        <v>#REF!</v>
      </c>
      <c r="S141" s="50">
        <v>88000</v>
      </c>
      <c r="T141" s="50">
        <v>700</v>
      </c>
      <c r="U141" s="50">
        <v>100600</v>
      </c>
      <c r="V141" s="50">
        <v>-12000</v>
      </c>
      <c r="W141" s="50">
        <v>700</v>
      </c>
      <c r="X141" s="50">
        <v>600</v>
      </c>
      <c r="Y141" s="50">
        <v>-12000</v>
      </c>
      <c r="Z141" s="50">
        <v>700</v>
      </c>
      <c r="AA141" s="50">
        <v>600</v>
      </c>
      <c r="AB141" s="50">
        <v>-67200</v>
      </c>
      <c r="AC141" s="50">
        <v>-6.7200672006720072E-2</v>
      </c>
      <c r="AD141" s="50">
        <v>-2800</v>
      </c>
      <c r="AE141" s="50">
        <v>-67200</v>
      </c>
      <c r="AF141" s="50">
        <v>-6.7200672006720072E-2</v>
      </c>
      <c r="AG141" s="50">
        <v>-2800</v>
      </c>
      <c r="AH141" s="50">
        <v>-67200</v>
      </c>
      <c r="AI141" s="50">
        <v>-6.7200672006720072E-2</v>
      </c>
      <c r="AJ141" s="50">
        <v>-5600</v>
      </c>
      <c r="AK141" s="50">
        <v>28800</v>
      </c>
      <c r="AL141" s="50">
        <v>2.880028800288003E-2</v>
      </c>
      <c r="AM141" s="50">
        <v>28800</v>
      </c>
      <c r="AN141" s="50">
        <v>2.880028800288003E-2</v>
      </c>
      <c r="AO141" s="50">
        <v>2400</v>
      </c>
      <c r="AP141" s="50">
        <v>0</v>
      </c>
      <c r="AQ141" s="50">
        <v>0</v>
      </c>
      <c r="AR141" s="50">
        <v>0</v>
      </c>
      <c r="AT141" s="50">
        <v>729990</v>
      </c>
      <c r="AU141" s="50">
        <v>40400</v>
      </c>
      <c r="AV141" s="50">
        <v>1457190</v>
      </c>
      <c r="AW141" s="50">
        <v>629990</v>
      </c>
      <c r="AX141" s="50">
        <v>40400</v>
      </c>
      <c r="AY141" s="50">
        <v>1357190</v>
      </c>
      <c r="AZ141" s="50">
        <v>629990</v>
      </c>
      <c r="BA141" s="50">
        <v>40400</v>
      </c>
      <c r="BB141" s="50">
        <v>1357190</v>
      </c>
      <c r="BC141" s="50">
        <v>964800</v>
      </c>
      <c r="BD141" s="50">
        <v>-3.5190351903519032E-2</v>
      </c>
      <c r="BE141" s="50">
        <v>40200</v>
      </c>
      <c r="BF141" s="50">
        <v>964800</v>
      </c>
      <c r="BG141" s="50">
        <v>-3.5190351903519032E-2</v>
      </c>
      <c r="BH141" s="50">
        <v>40200</v>
      </c>
      <c r="BI141" s="50">
        <v>964800</v>
      </c>
      <c r="BJ141" s="50">
        <v>-3.5190351903519032E-2</v>
      </c>
      <c r="BK141" s="50">
        <v>80400</v>
      </c>
      <c r="BL141" s="50">
        <v>988800</v>
      </c>
      <c r="BM141" s="50">
        <v>-1.1190111901119012E-2</v>
      </c>
      <c r="BN141" s="50">
        <v>988800</v>
      </c>
      <c r="BO141" s="50">
        <v>-1.1190111901119012E-2</v>
      </c>
      <c r="BP141" s="50">
        <v>82400</v>
      </c>
      <c r="BQ141" s="50">
        <v>999990</v>
      </c>
      <c r="BR141" s="50" t="s">
        <v>747</v>
      </c>
      <c r="BS141" s="50" t="s">
        <v>748</v>
      </c>
    </row>
    <row r="142" spans="1:71" ht="15.75" customHeight="1" x14ac:dyDescent="0.2">
      <c r="A142" s="25" t="s">
        <v>684</v>
      </c>
      <c r="B142" s="26" t="s">
        <v>685</v>
      </c>
      <c r="C142" s="27" t="s">
        <v>401</v>
      </c>
      <c r="D142" s="50">
        <v>897600</v>
      </c>
      <c r="E142" s="30">
        <f>+(D142-$P142)/$P142</f>
        <v>-0.1023910239102391</v>
      </c>
      <c r="F142" s="50">
        <f t="shared" si="15"/>
        <v>37400</v>
      </c>
      <c r="G142" s="50">
        <v>897600</v>
      </c>
      <c r="H142" s="30">
        <f>+(G142-$P142)/$P142</f>
        <v>-0.1023910239102391</v>
      </c>
      <c r="I142" s="50">
        <f t="shared" si="16"/>
        <v>37400</v>
      </c>
      <c r="J142" s="50">
        <v>897600</v>
      </c>
      <c r="K142" s="30">
        <f>+(J142-$P142)/$P142</f>
        <v>-0.1023910239102391</v>
      </c>
      <c r="L142" s="50">
        <f t="shared" si="17"/>
        <v>74800</v>
      </c>
      <c r="M142" s="50">
        <v>1017600</v>
      </c>
      <c r="N142" s="30">
        <f t="shared" si="18"/>
        <v>1.7610176101761018E-2</v>
      </c>
      <c r="O142" s="50">
        <f t="shared" si="19"/>
        <v>84800</v>
      </c>
      <c r="P142" s="50">
        <v>999990</v>
      </c>
      <c r="Q142" t="s">
        <v>800</v>
      </c>
      <c r="R142" t="e">
        <f>VLOOKUP(B142,#REF!,1,0)</f>
        <v>#REF!</v>
      </c>
      <c r="S142" s="50">
        <v>88000</v>
      </c>
      <c r="T142" s="50">
        <v>700</v>
      </c>
      <c r="U142" s="50">
        <v>100600</v>
      </c>
      <c r="V142" s="50">
        <v>-12000</v>
      </c>
      <c r="W142" s="50">
        <v>700</v>
      </c>
      <c r="X142" s="50">
        <v>600</v>
      </c>
      <c r="Y142" s="50">
        <v>-12000</v>
      </c>
      <c r="Z142" s="50">
        <v>700</v>
      </c>
      <c r="AA142" s="50">
        <v>600</v>
      </c>
      <c r="AB142" s="50">
        <v>-67200</v>
      </c>
      <c r="AC142" s="50">
        <v>-6.7200672006720072E-2</v>
      </c>
      <c r="AD142" s="50">
        <v>-2800</v>
      </c>
      <c r="AE142" s="50">
        <v>-67200</v>
      </c>
      <c r="AF142" s="50">
        <v>-6.7200672006720072E-2</v>
      </c>
      <c r="AG142" s="50">
        <v>-2800</v>
      </c>
      <c r="AH142" s="50">
        <v>-67200</v>
      </c>
      <c r="AI142" s="50">
        <v>-6.7200672006720072E-2</v>
      </c>
      <c r="AJ142" s="50">
        <v>-5600</v>
      </c>
      <c r="AK142" s="50">
        <v>28800</v>
      </c>
      <c r="AL142" s="50">
        <v>2.880028800288003E-2</v>
      </c>
      <c r="AM142" s="50">
        <v>28800</v>
      </c>
      <c r="AN142" s="50">
        <v>2.880028800288003E-2</v>
      </c>
      <c r="AO142" s="50">
        <v>2400</v>
      </c>
      <c r="AP142" s="50">
        <v>0</v>
      </c>
      <c r="AQ142" s="50">
        <v>0</v>
      </c>
      <c r="AR142" s="50">
        <v>0</v>
      </c>
      <c r="AT142" s="50">
        <v>729990</v>
      </c>
      <c r="AU142" s="50">
        <v>40400</v>
      </c>
      <c r="AV142" s="50">
        <v>1457190</v>
      </c>
      <c r="AW142" s="50">
        <v>629990</v>
      </c>
      <c r="AX142" s="50">
        <v>40400</v>
      </c>
      <c r="AY142" s="50">
        <v>1357190</v>
      </c>
      <c r="AZ142" s="50">
        <v>629990</v>
      </c>
      <c r="BA142" s="50">
        <v>40400</v>
      </c>
      <c r="BB142" s="50">
        <v>1357190</v>
      </c>
      <c r="BC142" s="50">
        <v>964800</v>
      </c>
      <c r="BD142" s="50">
        <v>-3.5190351903519032E-2</v>
      </c>
      <c r="BE142" s="50">
        <v>40200</v>
      </c>
      <c r="BF142" s="50">
        <v>964800</v>
      </c>
      <c r="BG142" s="50">
        <v>-3.5190351903519032E-2</v>
      </c>
      <c r="BH142" s="50">
        <v>40200</v>
      </c>
      <c r="BI142" s="50">
        <v>964800</v>
      </c>
      <c r="BJ142" s="50">
        <v>-3.5190351903519032E-2</v>
      </c>
      <c r="BK142" s="50">
        <v>80400</v>
      </c>
      <c r="BL142" s="50">
        <v>988800</v>
      </c>
      <c r="BM142" s="50">
        <v>-1.1190111901119012E-2</v>
      </c>
      <c r="BN142" s="50">
        <v>988800</v>
      </c>
      <c r="BO142" s="50">
        <v>-1.1190111901119012E-2</v>
      </c>
      <c r="BP142" s="50">
        <v>82400</v>
      </c>
      <c r="BQ142" s="50">
        <v>999990</v>
      </c>
      <c r="BR142" s="50" t="s">
        <v>747</v>
      </c>
      <c r="BS142" s="50" t="s">
        <v>748</v>
      </c>
    </row>
    <row r="143" spans="1:71" ht="15.75" customHeight="1" x14ac:dyDescent="0.2">
      <c r="A143" s="25" t="s">
        <v>686</v>
      </c>
      <c r="B143" s="26" t="s">
        <v>687</v>
      </c>
      <c r="C143" s="27" t="s">
        <v>401</v>
      </c>
      <c r="D143" s="50">
        <v>897600</v>
      </c>
      <c r="E143" s="30">
        <f>+(D143-$P143)/$P143</f>
        <v>-0.1023910239102391</v>
      </c>
      <c r="F143" s="50">
        <f t="shared" si="15"/>
        <v>37400</v>
      </c>
      <c r="G143" s="50">
        <v>897600</v>
      </c>
      <c r="H143" s="30">
        <f>+(G143-$P143)/$P143</f>
        <v>-0.1023910239102391</v>
      </c>
      <c r="I143" s="50">
        <f t="shared" si="16"/>
        <v>37400</v>
      </c>
      <c r="J143" s="50">
        <v>897600</v>
      </c>
      <c r="K143" s="30">
        <f>+(J143-$P143)/$P143</f>
        <v>-0.1023910239102391</v>
      </c>
      <c r="L143" s="50">
        <f t="shared" si="17"/>
        <v>74800</v>
      </c>
      <c r="M143" s="50">
        <v>1017600</v>
      </c>
      <c r="N143" s="30">
        <f t="shared" si="18"/>
        <v>1.7610176101761018E-2</v>
      </c>
      <c r="O143" s="50">
        <f t="shared" si="19"/>
        <v>84800</v>
      </c>
      <c r="P143" s="50">
        <v>999990</v>
      </c>
      <c r="Q143" t="s">
        <v>800</v>
      </c>
      <c r="R143" t="e">
        <f>VLOOKUP(B143,#REF!,1,0)</f>
        <v>#REF!</v>
      </c>
      <c r="S143" s="50">
        <v>88000</v>
      </c>
      <c r="T143" s="50">
        <v>700</v>
      </c>
      <c r="U143" s="50">
        <v>100600</v>
      </c>
      <c r="V143" s="50">
        <v>-12000</v>
      </c>
      <c r="W143" s="50">
        <v>700</v>
      </c>
      <c r="X143" s="50">
        <v>600</v>
      </c>
      <c r="Y143" s="50">
        <v>-12000</v>
      </c>
      <c r="Z143" s="50">
        <v>700</v>
      </c>
      <c r="AA143" s="50">
        <v>600</v>
      </c>
      <c r="AB143" s="50">
        <v>-67200</v>
      </c>
      <c r="AC143" s="50">
        <v>-6.7200672006720072E-2</v>
      </c>
      <c r="AD143" s="50">
        <v>-2800</v>
      </c>
      <c r="AE143" s="50">
        <v>-67200</v>
      </c>
      <c r="AF143" s="50">
        <v>-6.7200672006720072E-2</v>
      </c>
      <c r="AG143" s="50">
        <v>-2800</v>
      </c>
      <c r="AH143" s="50">
        <v>-67200</v>
      </c>
      <c r="AI143" s="50">
        <v>-6.7200672006720072E-2</v>
      </c>
      <c r="AJ143" s="50">
        <v>-5600</v>
      </c>
      <c r="AK143" s="50">
        <v>28800</v>
      </c>
      <c r="AL143" s="50">
        <v>2.880028800288003E-2</v>
      </c>
      <c r="AM143" s="50">
        <v>28800</v>
      </c>
      <c r="AN143" s="50">
        <v>2.880028800288003E-2</v>
      </c>
      <c r="AO143" s="50">
        <v>2400</v>
      </c>
      <c r="AP143" s="50">
        <v>0</v>
      </c>
      <c r="AQ143" s="50">
        <v>0</v>
      </c>
      <c r="AR143" s="50">
        <v>0</v>
      </c>
      <c r="AT143" s="50">
        <v>729990</v>
      </c>
      <c r="AU143" s="50">
        <v>40400</v>
      </c>
      <c r="AV143" s="50">
        <v>1457190</v>
      </c>
      <c r="AW143" s="50">
        <v>629990</v>
      </c>
      <c r="AX143" s="50">
        <v>40400</v>
      </c>
      <c r="AY143" s="50">
        <v>1357190</v>
      </c>
      <c r="AZ143" s="50">
        <v>629990</v>
      </c>
      <c r="BA143" s="50">
        <v>40400</v>
      </c>
      <c r="BB143" s="50">
        <v>1357190</v>
      </c>
      <c r="BC143" s="50">
        <v>964800</v>
      </c>
      <c r="BD143" s="50">
        <v>-3.5190351903519032E-2</v>
      </c>
      <c r="BE143" s="50">
        <v>40200</v>
      </c>
      <c r="BF143" s="50">
        <v>964800</v>
      </c>
      <c r="BG143" s="50">
        <v>-3.5190351903519032E-2</v>
      </c>
      <c r="BH143" s="50">
        <v>40200</v>
      </c>
      <c r="BI143" s="50">
        <v>964800</v>
      </c>
      <c r="BJ143" s="50">
        <v>-3.5190351903519032E-2</v>
      </c>
      <c r="BK143" s="50">
        <v>80400</v>
      </c>
      <c r="BL143" s="50">
        <v>988800</v>
      </c>
      <c r="BM143" s="50">
        <v>-1.1190111901119012E-2</v>
      </c>
      <c r="BN143" s="50">
        <v>988800</v>
      </c>
      <c r="BO143" s="50">
        <v>-1.1190111901119012E-2</v>
      </c>
      <c r="BP143" s="50">
        <v>82400</v>
      </c>
      <c r="BQ143" s="50">
        <v>999990</v>
      </c>
      <c r="BR143" s="50" t="s">
        <v>747</v>
      </c>
      <c r="BS143" s="50" t="s">
        <v>748</v>
      </c>
    </row>
    <row r="144" spans="1:71" ht="15.75" customHeight="1" x14ac:dyDescent="0.2">
      <c r="A144" s="25" t="s">
        <v>688</v>
      </c>
      <c r="B144" s="26" t="s">
        <v>689</v>
      </c>
      <c r="C144" s="27" t="s">
        <v>401</v>
      </c>
      <c r="D144" s="50">
        <v>808800</v>
      </c>
      <c r="E144" s="30">
        <f>+(D144-$P144)/$P144</f>
        <v>-0.24410508509425322</v>
      </c>
      <c r="F144" s="50">
        <f t="shared" si="15"/>
        <v>33700</v>
      </c>
      <c r="G144" s="50">
        <v>808800</v>
      </c>
      <c r="H144" s="30">
        <f>+(G144-$P144)/$P144</f>
        <v>-0.24410508509425322</v>
      </c>
      <c r="I144" s="50">
        <f t="shared" si="16"/>
        <v>33700</v>
      </c>
      <c r="J144" s="50">
        <v>808800</v>
      </c>
      <c r="K144" s="30">
        <f>+(J144-$P144)/$P144</f>
        <v>-0.24410508509425322</v>
      </c>
      <c r="L144" s="50">
        <f t="shared" si="17"/>
        <v>67400</v>
      </c>
      <c r="M144" s="50">
        <v>928800</v>
      </c>
      <c r="N144" s="30">
        <f t="shared" si="18"/>
        <v>-0.13195450424770325</v>
      </c>
      <c r="O144" s="50">
        <f t="shared" si="19"/>
        <v>77400</v>
      </c>
      <c r="P144" s="50">
        <v>1069990</v>
      </c>
      <c r="Q144" t="s">
        <v>801</v>
      </c>
      <c r="R144" t="e">
        <f>VLOOKUP(B144,#REF!,1,0)</f>
        <v>#REF!</v>
      </c>
      <c r="S144" s="50">
        <v>-4000</v>
      </c>
      <c r="T144" s="50">
        <v>800</v>
      </c>
      <c r="U144" s="50">
        <v>10400</v>
      </c>
      <c r="V144" s="50">
        <v>-14000</v>
      </c>
      <c r="W144" s="50">
        <v>800</v>
      </c>
      <c r="X144" s="50">
        <v>400</v>
      </c>
      <c r="Y144" s="50">
        <v>-14000</v>
      </c>
      <c r="Z144" s="50">
        <v>800</v>
      </c>
      <c r="AA144" s="50">
        <v>400</v>
      </c>
      <c r="AB144" s="50">
        <v>0</v>
      </c>
      <c r="AC144" s="50">
        <v>0</v>
      </c>
      <c r="AD144" s="50">
        <v>0</v>
      </c>
      <c r="AE144" s="50">
        <v>0</v>
      </c>
      <c r="AF144" s="50">
        <v>0</v>
      </c>
      <c r="AG144" s="50">
        <v>0</v>
      </c>
      <c r="AH144" s="50">
        <v>0</v>
      </c>
      <c r="AI144" s="50">
        <v>0</v>
      </c>
      <c r="AJ144" s="50">
        <v>0</v>
      </c>
      <c r="AK144" s="50">
        <v>0</v>
      </c>
      <c r="AL144" s="50">
        <v>0</v>
      </c>
      <c r="AM144" s="50">
        <v>0</v>
      </c>
      <c r="AN144" s="50">
        <v>0</v>
      </c>
      <c r="AO144" s="50">
        <v>0</v>
      </c>
      <c r="AP144" s="50">
        <v>0</v>
      </c>
      <c r="AQ144" s="50">
        <v>0</v>
      </c>
      <c r="AR144" s="50">
        <v>0</v>
      </c>
      <c r="AT144" s="50">
        <v>549990</v>
      </c>
      <c r="AU144" s="50">
        <v>35100</v>
      </c>
      <c r="AV144" s="50">
        <v>1181790</v>
      </c>
      <c r="AW144" s="50">
        <v>539990</v>
      </c>
      <c r="AX144" s="50">
        <v>35100</v>
      </c>
      <c r="AY144" s="50">
        <v>1171790</v>
      </c>
      <c r="AZ144" s="50">
        <v>539990</v>
      </c>
      <c r="BA144" s="50">
        <v>35100</v>
      </c>
      <c r="BB144" s="50">
        <v>1171790</v>
      </c>
      <c r="BC144" s="50">
        <v>808800</v>
      </c>
      <c r="BD144" s="50">
        <v>-0.24410508509425322</v>
      </c>
      <c r="BE144" s="50">
        <v>33700</v>
      </c>
      <c r="BF144" s="50">
        <v>808800</v>
      </c>
      <c r="BG144" s="50">
        <v>-0.24410508509425322</v>
      </c>
      <c r="BH144" s="50">
        <v>33700</v>
      </c>
      <c r="BI144" s="50">
        <v>808800</v>
      </c>
      <c r="BJ144" s="50">
        <v>-0.24410508509425322</v>
      </c>
      <c r="BK144" s="50">
        <v>67400</v>
      </c>
      <c r="BL144" s="50">
        <v>928800</v>
      </c>
      <c r="BM144" s="50">
        <v>-0.13195450424770325</v>
      </c>
      <c r="BN144" s="50">
        <v>928800</v>
      </c>
      <c r="BO144" s="50">
        <v>-0.13195450424770325</v>
      </c>
      <c r="BP144" s="50">
        <v>77400</v>
      </c>
      <c r="BQ144" s="50">
        <v>1069990</v>
      </c>
      <c r="BR144" s="50" t="s">
        <v>747</v>
      </c>
      <c r="BS144" s="50" t="s">
        <v>748</v>
      </c>
    </row>
    <row r="145" spans="1:71" ht="15.75" customHeight="1" x14ac:dyDescent="0.2">
      <c r="A145" s="25" t="s">
        <v>690</v>
      </c>
      <c r="B145" s="26" t="s">
        <v>691</v>
      </c>
      <c r="C145" s="27" t="s">
        <v>401</v>
      </c>
      <c r="D145" s="50">
        <v>544800</v>
      </c>
      <c r="E145" s="30">
        <f>+(D145-$P145)/$P145</f>
        <v>-0.50472277020700185</v>
      </c>
      <c r="F145" s="50">
        <f t="shared" si="15"/>
        <v>22700</v>
      </c>
      <c r="G145" s="50">
        <v>544800</v>
      </c>
      <c r="H145" s="30">
        <f>+(G145-$P145)/$P145</f>
        <v>-0.50472277020700185</v>
      </c>
      <c r="I145" s="50">
        <f t="shared" si="16"/>
        <v>22700</v>
      </c>
      <c r="J145" s="50">
        <v>544800</v>
      </c>
      <c r="K145" s="30">
        <f>+(J145-$P145)/$P145</f>
        <v>-0.50472277020700185</v>
      </c>
      <c r="L145" s="50">
        <f t="shared" si="17"/>
        <v>45400</v>
      </c>
      <c r="M145" s="50">
        <v>664800</v>
      </c>
      <c r="N145" s="30">
        <f t="shared" si="18"/>
        <v>-0.39563086937153974</v>
      </c>
      <c r="O145" s="50">
        <f t="shared" si="19"/>
        <v>55400</v>
      </c>
      <c r="P145" s="50">
        <v>1099990</v>
      </c>
      <c r="Q145" t="s">
        <v>802</v>
      </c>
      <c r="R145" t="e">
        <f>VLOOKUP(B145,#REF!,1,0)</f>
        <v>#REF!</v>
      </c>
      <c r="S145" s="50">
        <v>13000</v>
      </c>
      <c r="T145" s="50">
        <v>2000</v>
      </c>
      <c r="U145" s="50">
        <v>49000</v>
      </c>
      <c r="V145" s="50">
        <v>13000</v>
      </c>
      <c r="W145" s="50">
        <v>2000</v>
      </c>
      <c r="X145" s="50">
        <v>49000</v>
      </c>
      <c r="Y145" s="50">
        <v>13000</v>
      </c>
      <c r="Z145" s="50">
        <v>2000</v>
      </c>
      <c r="AA145" s="50">
        <v>49000</v>
      </c>
      <c r="AB145" s="50">
        <v>-180000</v>
      </c>
      <c r="AC145" s="50">
        <v>-0.16363785125319319</v>
      </c>
      <c r="AD145" s="50">
        <v>-7500</v>
      </c>
      <c r="AE145" s="50">
        <v>-180000</v>
      </c>
      <c r="AF145" s="50">
        <v>-0.16363785125319319</v>
      </c>
      <c r="AG145" s="50">
        <v>-7500</v>
      </c>
      <c r="AH145" s="50">
        <v>-180000</v>
      </c>
      <c r="AI145" s="50">
        <v>-0.16363785125319319</v>
      </c>
      <c r="AJ145" s="50">
        <v>-15000</v>
      </c>
      <c r="AK145" s="50">
        <v>-180000</v>
      </c>
      <c r="AL145" s="50">
        <v>-0.16363785125319322</v>
      </c>
      <c r="AM145" s="50">
        <v>-180000</v>
      </c>
      <c r="AN145" s="50">
        <v>-0.16363785125319322</v>
      </c>
      <c r="AO145" s="50">
        <v>-15000</v>
      </c>
      <c r="AP145" s="50">
        <v>0</v>
      </c>
      <c r="AQ145" s="50">
        <v>0</v>
      </c>
      <c r="AR145" s="50">
        <v>0</v>
      </c>
      <c r="AT145" s="50">
        <v>509990</v>
      </c>
      <c r="AU145" s="50">
        <v>32300</v>
      </c>
      <c r="AV145" s="50">
        <v>1091390</v>
      </c>
      <c r="AW145" s="50">
        <v>509990</v>
      </c>
      <c r="AX145" s="50">
        <v>32300</v>
      </c>
      <c r="AY145" s="50">
        <v>1091390</v>
      </c>
      <c r="AZ145" s="50">
        <v>509990</v>
      </c>
      <c r="BA145" s="50">
        <v>32300</v>
      </c>
      <c r="BB145" s="50">
        <v>1091390</v>
      </c>
      <c r="BC145" s="50">
        <v>724800</v>
      </c>
      <c r="BD145" s="50">
        <v>-0.34108491895380866</v>
      </c>
      <c r="BE145" s="50">
        <v>30200</v>
      </c>
      <c r="BF145" s="50">
        <v>724800</v>
      </c>
      <c r="BG145" s="50">
        <v>-0.34108491895380866</v>
      </c>
      <c r="BH145" s="50">
        <v>30200</v>
      </c>
      <c r="BI145" s="50">
        <v>724800</v>
      </c>
      <c r="BJ145" s="50">
        <v>-0.34108491895380866</v>
      </c>
      <c r="BK145" s="50">
        <v>60400</v>
      </c>
      <c r="BL145" s="50">
        <v>844800</v>
      </c>
      <c r="BM145" s="50">
        <v>-0.23199301811834652</v>
      </c>
      <c r="BN145" s="50">
        <v>844800</v>
      </c>
      <c r="BO145" s="50">
        <v>-0.23199301811834652</v>
      </c>
      <c r="BP145" s="50">
        <v>70400</v>
      </c>
      <c r="BQ145" s="50">
        <v>1099990</v>
      </c>
      <c r="BR145" s="50" t="s">
        <v>747</v>
      </c>
      <c r="BS145" s="50" t="s">
        <v>748</v>
      </c>
    </row>
    <row r="146" spans="1:71" ht="15.75" customHeight="1" x14ac:dyDescent="0.2">
      <c r="A146" s="25" t="s">
        <v>692</v>
      </c>
      <c r="B146" s="26" t="s">
        <v>693</v>
      </c>
      <c r="C146" s="27" t="s">
        <v>44</v>
      </c>
      <c r="D146" s="50">
        <v>878400</v>
      </c>
      <c r="E146" s="30">
        <f>+(D146-$P146)/$P146</f>
        <v>-0.37256694690676362</v>
      </c>
      <c r="F146" s="50">
        <f t="shared" si="15"/>
        <v>36600</v>
      </c>
      <c r="G146" s="50">
        <v>878400</v>
      </c>
      <c r="H146" s="30">
        <f>+(G146-$P146)/$P146</f>
        <v>-0.37256694690676362</v>
      </c>
      <c r="I146" s="50">
        <f t="shared" si="16"/>
        <v>36600</v>
      </c>
      <c r="J146" s="50">
        <v>878400</v>
      </c>
      <c r="K146" s="30">
        <f>+(J146-$P146)/$P146</f>
        <v>-0.37256694690676362</v>
      </c>
      <c r="L146" s="50">
        <f t="shared" si="17"/>
        <v>73200</v>
      </c>
      <c r="M146" s="50">
        <v>950400</v>
      </c>
      <c r="N146" s="30">
        <f t="shared" si="18"/>
        <v>-0.32113800812862947</v>
      </c>
      <c r="O146" s="50">
        <f t="shared" si="19"/>
        <v>79200</v>
      </c>
      <c r="P146" s="50">
        <v>1399990</v>
      </c>
      <c r="Q146" t="s">
        <v>803</v>
      </c>
      <c r="R146" t="e">
        <f>VLOOKUP(B146,#REF!,1,0)</f>
        <v>#REF!</v>
      </c>
      <c r="S146" s="50">
        <v>789990</v>
      </c>
      <c r="T146" s="50">
        <v>40000</v>
      </c>
      <c r="U146" s="50">
        <v>1509990</v>
      </c>
      <c r="V146" s="50">
        <v>789990</v>
      </c>
      <c r="W146" s="50">
        <v>40000</v>
      </c>
      <c r="X146" s="50">
        <v>1509990</v>
      </c>
      <c r="Y146" s="50">
        <v>789990</v>
      </c>
      <c r="Z146" s="50">
        <v>40000</v>
      </c>
      <c r="AA146" s="50">
        <v>1509990</v>
      </c>
      <c r="AB146" s="50">
        <v>878400</v>
      </c>
      <c r="AC146" s="50">
        <v>-0.37256694690676362</v>
      </c>
      <c r="AD146" s="50">
        <v>36600</v>
      </c>
      <c r="AE146" s="50">
        <v>878400</v>
      </c>
      <c r="AF146" s="50">
        <v>-0.37256694690676362</v>
      </c>
      <c r="AG146" s="50">
        <v>36600</v>
      </c>
      <c r="AH146" s="50">
        <v>878400</v>
      </c>
      <c r="AI146" s="50">
        <v>-0.37256694690676362</v>
      </c>
      <c r="AJ146" s="50">
        <v>73200</v>
      </c>
      <c r="AK146" s="50">
        <v>950400</v>
      </c>
      <c r="AL146" s="50">
        <v>-0.32113800812862947</v>
      </c>
      <c r="AM146" s="50">
        <v>950400</v>
      </c>
      <c r="AN146" s="50">
        <v>-0.32113800812862947</v>
      </c>
      <c r="AO146" s="50">
        <v>79200</v>
      </c>
      <c r="AP146" s="50">
        <v>1399990</v>
      </c>
      <c r="AQ146" s="50">
        <v>7000</v>
      </c>
      <c r="AR146" s="50">
        <v>12000</v>
      </c>
      <c r="AT146" s="50">
        <v>789990</v>
      </c>
      <c r="AU146" s="50">
        <v>40000</v>
      </c>
      <c r="AV146" s="50">
        <v>1509990</v>
      </c>
      <c r="AW146" s="50">
        <v>789990</v>
      </c>
      <c r="AX146" s="50">
        <v>40000</v>
      </c>
      <c r="AY146" s="50">
        <v>1509990</v>
      </c>
      <c r="AZ146" s="50">
        <v>789990</v>
      </c>
      <c r="BA146" s="50">
        <v>40000</v>
      </c>
      <c r="BB146" s="50">
        <v>1509990</v>
      </c>
      <c r="BC146" s="50">
        <v>878400</v>
      </c>
      <c r="BD146" s="50">
        <v>-0.37256694690676362</v>
      </c>
      <c r="BE146" s="50">
        <v>36600</v>
      </c>
      <c r="BF146" s="50">
        <v>878400</v>
      </c>
      <c r="BG146" s="50">
        <v>-0.37256694690676362</v>
      </c>
      <c r="BH146" s="50">
        <v>36600</v>
      </c>
      <c r="BI146" s="50">
        <v>878400</v>
      </c>
      <c r="BJ146" s="50">
        <v>-0.37256694690676362</v>
      </c>
      <c r="BK146" s="50">
        <v>73200</v>
      </c>
      <c r="BL146" s="50">
        <v>950400</v>
      </c>
      <c r="BM146" s="50">
        <v>-0.32113800812862947</v>
      </c>
      <c r="BN146" s="50">
        <v>950400</v>
      </c>
      <c r="BO146" s="50">
        <v>-0.32113800812862947</v>
      </c>
      <c r="BP146" s="50">
        <v>79200</v>
      </c>
      <c r="BQ146" s="50">
        <v>1399990</v>
      </c>
      <c r="BR146" s="50" t="s">
        <v>747</v>
      </c>
      <c r="BS146" s="50" t="s">
        <v>748</v>
      </c>
    </row>
    <row r="147" spans="1:71" ht="15.75" customHeight="1" x14ac:dyDescent="0.2">
      <c r="A147" s="25" t="s">
        <v>694</v>
      </c>
      <c r="B147" s="26" t="s">
        <v>695</v>
      </c>
      <c r="C147" s="27" t="s">
        <v>401</v>
      </c>
      <c r="D147" s="50">
        <v>1099200</v>
      </c>
      <c r="E147" s="30">
        <f>+(D147-$P147)/$P147</f>
        <v>-0.21485153465381895</v>
      </c>
      <c r="F147" s="50">
        <f t="shared" si="15"/>
        <v>45800</v>
      </c>
      <c r="G147" s="50">
        <v>1099200</v>
      </c>
      <c r="H147" s="30">
        <f>+(G147-$P147)/$P147</f>
        <v>-0.21485153465381895</v>
      </c>
      <c r="I147" s="50">
        <f t="shared" si="16"/>
        <v>45800</v>
      </c>
      <c r="J147" s="50">
        <v>1099200</v>
      </c>
      <c r="K147" s="30">
        <f>+(J147-$P147)/$P147</f>
        <v>-0.21485153465381895</v>
      </c>
      <c r="L147" s="50">
        <f t="shared" si="17"/>
        <v>91600</v>
      </c>
      <c r="M147" s="50">
        <v>1123200</v>
      </c>
      <c r="N147" s="30">
        <f t="shared" si="18"/>
        <v>-0.19770855506110757</v>
      </c>
      <c r="O147" s="50">
        <f t="shared" si="19"/>
        <v>93600</v>
      </c>
      <c r="P147" s="50">
        <v>1399990</v>
      </c>
      <c r="Q147" t="s">
        <v>804</v>
      </c>
      <c r="R147" t="e">
        <f>VLOOKUP(B147,#REF!,1,0)</f>
        <v>#REF!</v>
      </c>
      <c r="S147" s="50">
        <v>169000</v>
      </c>
      <c r="T147" s="50">
        <v>-1000</v>
      </c>
      <c r="U147" s="50">
        <v>151000</v>
      </c>
      <c r="V147" s="50">
        <v>19000</v>
      </c>
      <c r="W147" s="50">
        <v>-1000</v>
      </c>
      <c r="X147" s="50">
        <v>1000</v>
      </c>
      <c r="Y147" s="50">
        <v>19000</v>
      </c>
      <c r="Z147" s="50">
        <v>-1000</v>
      </c>
      <c r="AA147" s="50">
        <v>1000</v>
      </c>
      <c r="AB147" s="50">
        <v>0</v>
      </c>
      <c r="AC147" s="50">
        <v>0</v>
      </c>
      <c r="AD147" s="50">
        <v>0</v>
      </c>
      <c r="AE147" s="50">
        <v>0</v>
      </c>
      <c r="AF147" s="50">
        <v>0</v>
      </c>
      <c r="AG147" s="50">
        <v>0</v>
      </c>
      <c r="AH147" s="50">
        <v>0</v>
      </c>
      <c r="AI147" s="50">
        <v>0</v>
      </c>
      <c r="AJ147" s="50">
        <v>0</v>
      </c>
      <c r="AK147" s="50">
        <v>0</v>
      </c>
      <c r="AL147" s="50">
        <v>0</v>
      </c>
      <c r="AM147" s="50">
        <v>0</v>
      </c>
      <c r="AN147" s="50">
        <v>0</v>
      </c>
      <c r="AO147" s="50">
        <v>0</v>
      </c>
      <c r="AP147" s="50">
        <v>0</v>
      </c>
      <c r="AQ147" s="50">
        <v>0</v>
      </c>
      <c r="AR147" s="50">
        <v>0</v>
      </c>
      <c r="AT147" s="50">
        <v>879990</v>
      </c>
      <c r="AU147" s="50">
        <v>46400</v>
      </c>
      <c r="AV147" s="50">
        <v>1715190</v>
      </c>
      <c r="AW147" s="50">
        <v>729990</v>
      </c>
      <c r="AX147" s="50">
        <v>46400</v>
      </c>
      <c r="AY147" s="50">
        <v>1565190</v>
      </c>
      <c r="AZ147" s="50">
        <v>729990</v>
      </c>
      <c r="BA147" s="50">
        <v>46400</v>
      </c>
      <c r="BB147" s="50">
        <v>1565190</v>
      </c>
      <c r="BC147" s="50">
        <v>1099200</v>
      </c>
      <c r="BD147" s="50">
        <v>-0.21485153465381895</v>
      </c>
      <c r="BE147" s="50">
        <v>45800</v>
      </c>
      <c r="BF147" s="50">
        <v>1099200</v>
      </c>
      <c r="BG147" s="50">
        <v>-0.21485153465381895</v>
      </c>
      <c r="BH147" s="50">
        <v>45800</v>
      </c>
      <c r="BI147" s="50">
        <v>1099200</v>
      </c>
      <c r="BJ147" s="50">
        <v>-0.21485153465381895</v>
      </c>
      <c r="BK147" s="50">
        <v>91600</v>
      </c>
      <c r="BL147" s="50">
        <v>1123200</v>
      </c>
      <c r="BM147" s="50">
        <v>-0.19770855506110757</v>
      </c>
      <c r="BN147" s="50">
        <v>1123200</v>
      </c>
      <c r="BO147" s="50">
        <v>-0.19770855506110757</v>
      </c>
      <c r="BP147" s="50">
        <v>93600</v>
      </c>
      <c r="BQ147" s="50">
        <v>1399990</v>
      </c>
      <c r="BR147" s="50" t="s">
        <v>747</v>
      </c>
      <c r="BS147" s="50" t="s">
        <v>748</v>
      </c>
    </row>
    <row r="148" spans="1:71" ht="15.75" customHeight="1" x14ac:dyDescent="0.2">
      <c r="A148" s="25" t="s">
        <v>696</v>
      </c>
      <c r="B148" s="26" t="s">
        <v>697</v>
      </c>
      <c r="C148" s="27" t="s">
        <v>401</v>
      </c>
      <c r="D148" s="50">
        <v>1099200</v>
      </c>
      <c r="E148" s="30">
        <f>+(D148-$P148)/$P148</f>
        <v>-0.21485153465381895</v>
      </c>
      <c r="F148" s="50">
        <f t="shared" si="15"/>
        <v>45800</v>
      </c>
      <c r="G148" s="50">
        <v>1099200</v>
      </c>
      <c r="H148" s="30">
        <f>+(G148-$P148)/$P148</f>
        <v>-0.21485153465381895</v>
      </c>
      <c r="I148" s="50">
        <f t="shared" si="16"/>
        <v>45800</v>
      </c>
      <c r="J148" s="50">
        <v>1099200</v>
      </c>
      <c r="K148" s="30">
        <f>+(J148-$P148)/$P148</f>
        <v>-0.21485153465381895</v>
      </c>
      <c r="L148" s="50">
        <f t="shared" si="17"/>
        <v>91600</v>
      </c>
      <c r="M148" s="50">
        <v>1123200</v>
      </c>
      <c r="N148" s="30">
        <f t="shared" si="18"/>
        <v>-0.19770855506110757</v>
      </c>
      <c r="O148" s="50">
        <f t="shared" si="19"/>
        <v>93600</v>
      </c>
      <c r="P148" s="50">
        <v>1399990</v>
      </c>
      <c r="Q148" t="s">
        <v>804</v>
      </c>
      <c r="R148" t="e">
        <f>VLOOKUP(B148,#REF!,1,0)</f>
        <v>#REF!</v>
      </c>
      <c r="S148" s="50">
        <v>169000</v>
      </c>
      <c r="T148" s="50">
        <v>-1000</v>
      </c>
      <c r="U148" s="50">
        <v>151000</v>
      </c>
      <c r="V148" s="50">
        <v>19000</v>
      </c>
      <c r="W148" s="50">
        <v>-1000</v>
      </c>
      <c r="X148" s="50">
        <v>1000</v>
      </c>
      <c r="Y148" s="50">
        <v>19000</v>
      </c>
      <c r="Z148" s="50">
        <v>-1000</v>
      </c>
      <c r="AA148" s="50">
        <v>1000</v>
      </c>
      <c r="AB148" s="50">
        <v>0</v>
      </c>
      <c r="AC148" s="50">
        <v>0</v>
      </c>
      <c r="AD148" s="50">
        <v>0</v>
      </c>
      <c r="AE148" s="50">
        <v>0</v>
      </c>
      <c r="AF148" s="50">
        <v>0</v>
      </c>
      <c r="AG148" s="50">
        <v>0</v>
      </c>
      <c r="AH148" s="50">
        <v>0</v>
      </c>
      <c r="AI148" s="50">
        <v>0</v>
      </c>
      <c r="AJ148" s="50">
        <v>0</v>
      </c>
      <c r="AK148" s="50">
        <v>0</v>
      </c>
      <c r="AL148" s="50">
        <v>0</v>
      </c>
      <c r="AM148" s="50">
        <v>0</v>
      </c>
      <c r="AN148" s="50">
        <v>0</v>
      </c>
      <c r="AO148" s="50">
        <v>0</v>
      </c>
      <c r="AP148" s="50">
        <v>0</v>
      </c>
      <c r="AQ148" s="50">
        <v>0</v>
      </c>
      <c r="AR148" s="50">
        <v>0</v>
      </c>
      <c r="AT148" s="50">
        <v>879990</v>
      </c>
      <c r="AU148" s="50">
        <v>46400</v>
      </c>
      <c r="AV148" s="50">
        <v>1715190</v>
      </c>
      <c r="AW148" s="50">
        <v>729990</v>
      </c>
      <c r="AX148" s="50">
        <v>46400</v>
      </c>
      <c r="AY148" s="50">
        <v>1565190</v>
      </c>
      <c r="AZ148" s="50">
        <v>729990</v>
      </c>
      <c r="BA148" s="50">
        <v>46400</v>
      </c>
      <c r="BB148" s="50">
        <v>1565190</v>
      </c>
      <c r="BC148" s="50">
        <v>1099200</v>
      </c>
      <c r="BD148" s="50">
        <v>-0.21485153465381895</v>
      </c>
      <c r="BE148" s="50">
        <v>45800</v>
      </c>
      <c r="BF148" s="50">
        <v>1099200</v>
      </c>
      <c r="BG148" s="50">
        <v>-0.21485153465381895</v>
      </c>
      <c r="BH148" s="50">
        <v>45800</v>
      </c>
      <c r="BI148" s="50">
        <v>1099200</v>
      </c>
      <c r="BJ148" s="50">
        <v>-0.21485153465381895</v>
      </c>
      <c r="BK148" s="50">
        <v>91600</v>
      </c>
      <c r="BL148" s="50">
        <v>1123200</v>
      </c>
      <c r="BM148" s="50">
        <v>-0.19770855506110757</v>
      </c>
      <c r="BN148" s="50">
        <v>1123200</v>
      </c>
      <c r="BO148" s="50">
        <v>-0.19770855506110757</v>
      </c>
      <c r="BP148" s="50">
        <v>93600</v>
      </c>
      <c r="BQ148" s="50">
        <v>1399990</v>
      </c>
      <c r="BR148" s="50" t="s">
        <v>747</v>
      </c>
      <c r="BS148" s="50" t="s">
        <v>748</v>
      </c>
    </row>
    <row r="149" spans="1:71" ht="15.75" customHeight="1" x14ac:dyDescent="0.2">
      <c r="A149" s="25" t="s">
        <v>698</v>
      </c>
      <c r="B149" s="26" t="s">
        <v>699</v>
      </c>
      <c r="C149" s="27" t="s">
        <v>401</v>
      </c>
      <c r="D149" s="50">
        <v>1380000</v>
      </c>
      <c r="E149" s="30">
        <f>+(D149-$P149)/$P149</f>
        <v>-3.4958286421583371E-2</v>
      </c>
      <c r="F149" s="50">
        <f t="shared" si="15"/>
        <v>57500</v>
      </c>
      <c r="G149" s="50">
        <v>1380000</v>
      </c>
      <c r="H149" s="30">
        <f>+(G149-$P149)/$P149</f>
        <v>-3.4958286421583371E-2</v>
      </c>
      <c r="I149" s="50">
        <f t="shared" si="16"/>
        <v>57500</v>
      </c>
      <c r="J149" s="50">
        <v>1380000</v>
      </c>
      <c r="K149" s="30">
        <f>+(J149-$P149)/$P149</f>
        <v>-3.4958286421583371E-2</v>
      </c>
      <c r="L149" s="50">
        <f t="shared" si="17"/>
        <v>115000</v>
      </c>
      <c r="M149" s="50">
        <v>1500000</v>
      </c>
      <c r="N149" s="30">
        <f t="shared" si="18"/>
        <v>4.8958384324365903E-2</v>
      </c>
      <c r="O149" s="50">
        <f t="shared" si="19"/>
        <v>125000</v>
      </c>
      <c r="P149" s="50">
        <v>1429990</v>
      </c>
      <c r="Q149" t="s">
        <v>805</v>
      </c>
      <c r="R149" t="e">
        <f>VLOOKUP(B149,#REF!,1,0)</f>
        <v>#REF!</v>
      </c>
      <c r="S149" s="50">
        <v>286000</v>
      </c>
      <c r="T149" s="50">
        <v>-10300</v>
      </c>
      <c r="U149" s="50">
        <v>100600</v>
      </c>
      <c r="V149" s="50">
        <v>186000</v>
      </c>
      <c r="W149" s="50">
        <v>-10300</v>
      </c>
      <c r="X149" s="50">
        <v>600</v>
      </c>
      <c r="Y149" s="50">
        <v>186000</v>
      </c>
      <c r="Z149" s="50">
        <v>-10300</v>
      </c>
      <c r="AA149" s="50">
        <v>600</v>
      </c>
      <c r="AB149" s="50">
        <v>0</v>
      </c>
      <c r="AC149" s="50">
        <v>0</v>
      </c>
      <c r="AD149" s="50">
        <v>0</v>
      </c>
      <c r="AE149" s="50">
        <v>0</v>
      </c>
      <c r="AF149" s="50">
        <v>0</v>
      </c>
      <c r="AG149" s="50">
        <v>0</v>
      </c>
      <c r="AH149" s="50">
        <v>0</v>
      </c>
      <c r="AI149" s="50">
        <v>0</v>
      </c>
      <c r="AJ149" s="50">
        <v>0</v>
      </c>
      <c r="AK149" s="50">
        <v>96000</v>
      </c>
      <c r="AL149" s="50">
        <v>6.7133336596759408E-2</v>
      </c>
      <c r="AM149" s="50">
        <v>96000</v>
      </c>
      <c r="AN149" s="50">
        <v>6.7133336596759408E-2</v>
      </c>
      <c r="AO149" s="50">
        <v>8000</v>
      </c>
      <c r="AP149" s="50">
        <v>0</v>
      </c>
      <c r="AQ149" s="50">
        <v>0</v>
      </c>
      <c r="AR149" s="50">
        <v>0</v>
      </c>
      <c r="AT149" s="50">
        <v>1079990</v>
      </c>
      <c r="AU149" s="50">
        <v>46500</v>
      </c>
      <c r="AV149" s="50">
        <v>1916990</v>
      </c>
      <c r="AW149" s="50">
        <v>979990</v>
      </c>
      <c r="AX149" s="50">
        <v>46500</v>
      </c>
      <c r="AY149" s="50">
        <v>1816990</v>
      </c>
      <c r="AZ149" s="50">
        <v>979990</v>
      </c>
      <c r="BA149" s="50">
        <v>46500</v>
      </c>
      <c r="BB149" s="50">
        <v>1816990</v>
      </c>
      <c r="BC149" s="50">
        <v>1380000</v>
      </c>
      <c r="BD149" s="50">
        <v>-3.4958286421583371E-2</v>
      </c>
      <c r="BE149" s="50">
        <v>57500</v>
      </c>
      <c r="BF149" s="50">
        <v>1380000</v>
      </c>
      <c r="BG149" s="50">
        <v>-3.4958286421583371E-2</v>
      </c>
      <c r="BH149" s="50">
        <v>57500</v>
      </c>
      <c r="BI149" s="50">
        <v>1380000</v>
      </c>
      <c r="BJ149" s="50">
        <v>-3.4958286421583371E-2</v>
      </c>
      <c r="BK149" s="50">
        <v>115000</v>
      </c>
      <c r="BL149" s="50">
        <v>1404000</v>
      </c>
      <c r="BM149" s="50">
        <v>-1.8174952272393512E-2</v>
      </c>
      <c r="BN149" s="50">
        <v>1404000</v>
      </c>
      <c r="BO149" s="50">
        <v>-1.8174952272393512E-2</v>
      </c>
      <c r="BP149" s="50">
        <v>117000</v>
      </c>
      <c r="BQ149" s="50">
        <v>1429990</v>
      </c>
      <c r="BR149" s="50" t="s">
        <v>747</v>
      </c>
      <c r="BS149" s="50" t="s">
        <v>748</v>
      </c>
    </row>
    <row r="150" spans="1:71" ht="15.75" customHeight="1" x14ac:dyDescent="0.2">
      <c r="A150" s="25" t="s">
        <v>700</v>
      </c>
      <c r="B150" s="26" t="s">
        <v>701</v>
      </c>
      <c r="C150" s="27" t="s">
        <v>401</v>
      </c>
      <c r="D150" s="50">
        <v>1380000</v>
      </c>
      <c r="E150" s="30">
        <f>+(D150-$P150)/$P150</f>
        <v>-3.4958286421583371E-2</v>
      </c>
      <c r="F150" s="50">
        <f t="shared" si="15"/>
        <v>57500</v>
      </c>
      <c r="G150" s="50">
        <v>1380000</v>
      </c>
      <c r="H150" s="30">
        <f>+(G150-$P150)/$P150</f>
        <v>-3.4958286421583371E-2</v>
      </c>
      <c r="I150" s="50">
        <f t="shared" si="16"/>
        <v>57500</v>
      </c>
      <c r="J150" s="50">
        <v>1380000</v>
      </c>
      <c r="K150" s="30">
        <f>+(J150-$P150)/$P150</f>
        <v>-3.4958286421583371E-2</v>
      </c>
      <c r="L150" s="50">
        <f t="shared" si="17"/>
        <v>115000</v>
      </c>
      <c r="M150" s="50">
        <v>1500000</v>
      </c>
      <c r="N150" s="30">
        <f t="shared" si="18"/>
        <v>4.8958384324365903E-2</v>
      </c>
      <c r="O150" s="50">
        <f t="shared" si="19"/>
        <v>125000</v>
      </c>
      <c r="P150" s="50">
        <v>1429990</v>
      </c>
      <c r="Q150" t="s">
        <v>805</v>
      </c>
      <c r="R150" t="e">
        <f>VLOOKUP(B150,#REF!,1,0)</f>
        <v>#REF!</v>
      </c>
      <c r="S150" s="50">
        <v>286000</v>
      </c>
      <c r="T150" s="50">
        <v>-10300</v>
      </c>
      <c r="U150" s="50">
        <v>100600</v>
      </c>
      <c r="V150" s="50">
        <v>186000</v>
      </c>
      <c r="W150" s="50">
        <v>-10300</v>
      </c>
      <c r="X150" s="50">
        <v>600</v>
      </c>
      <c r="Y150" s="50">
        <v>186000</v>
      </c>
      <c r="Z150" s="50">
        <v>-10300</v>
      </c>
      <c r="AA150" s="50">
        <v>600</v>
      </c>
      <c r="AB150" s="50">
        <v>0</v>
      </c>
      <c r="AC150" s="50">
        <v>0</v>
      </c>
      <c r="AD150" s="50">
        <v>0</v>
      </c>
      <c r="AE150" s="50">
        <v>0</v>
      </c>
      <c r="AF150" s="50">
        <v>0</v>
      </c>
      <c r="AG150" s="50">
        <v>0</v>
      </c>
      <c r="AH150" s="50">
        <v>0</v>
      </c>
      <c r="AI150" s="50">
        <v>0</v>
      </c>
      <c r="AJ150" s="50">
        <v>0</v>
      </c>
      <c r="AK150" s="50">
        <v>96000</v>
      </c>
      <c r="AL150" s="50">
        <v>6.7133336596759408E-2</v>
      </c>
      <c r="AM150" s="50">
        <v>96000</v>
      </c>
      <c r="AN150" s="50">
        <v>6.7133336596759408E-2</v>
      </c>
      <c r="AO150" s="50">
        <v>8000</v>
      </c>
      <c r="AP150" s="50">
        <v>0</v>
      </c>
      <c r="AQ150" s="50">
        <v>0</v>
      </c>
      <c r="AR150" s="50">
        <v>0</v>
      </c>
      <c r="AT150" s="50">
        <v>1079990</v>
      </c>
      <c r="AU150" s="50">
        <v>46500</v>
      </c>
      <c r="AV150" s="50">
        <v>1916990</v>
      </c>
      <c r="AW150" s="50">
        <v>979990</v>
      </c>
      <c r="AX150" s="50">
        <v>46500</v>
      </c>
      <c r="AY150" s="50">
        <v>1816990</v>
      </c>
      <c r="AZ150" s="50">
        <v>979990</v>
      </c>
      <c r="BA150" s="50">
        <v>46500</v>
      </c>
      <c r="BB150" s="50">
        <v>1816990</v>
      </c>
      <c r="BC150" s="50">
        <v>1380000</v>
      </c>
      <c r="BD150" s="50">
        <v>-3.4958286421583371E-2</v>
      </c>
      <c r="BE150" s="50">
        <v>57500</v>
      </c>
      <c r="BF150" s="50">
        <v>1380000</v>
      </c>
      <c r="BG150" s="50">
        <v>-3.4958286421583371E-2</v>
      </c>
      <c r="BH150" s="50">
        <v>57500</v>
      </c>
      <c r="BI150" s="50">
        <v>1380000</v>
      </c>
      <c r="BJ150" s="50">
        <v>-3.4958286421583371E-2</v>
      </c>
      <c r="BK150" s="50">
        <v>115000</v>
      </c>
      <c r="BL150" s="50">
        <v>1404000</v>
      </c>
      <c r="BM150" s="50">
        <v>-1.8174952272393512E-2</v>
      </c>
      <c r="BN150" s="50">
        <v>1404000</v>
      </c>
      <c r="BO150" s="50">
        <v>-1.8174952272393512E-2</v>
      </c>
      <c r="BP150" s="50">
        <v>117000</v>
      </c>
      <c r="BQ150" s="50">
        <v>1429990</v>
      </c>
      <c r="BR150" s="50" t="s">
        <v>747</v>
      </c>
      <c r="BS150" s="50" t="s">
        <v>748</v>
      </c>
    </row>
    <row r="151" spans="1:71" ht="15.75" customHeight="1" x14ac:dyDescent="0.2">
      <c r="A151" s="25" t="s">
        <v>702</v>
      </c>
      <c r="B151" s="26" t="s">
        <v>703</v>
      </c>
      <c r="C151" s="27" t="s">
        <v>401</v>
      </c>
      <c r="D151" s="50">
        <v>1380000</v>
      </c>
      <c r="E151" s="30">
        <f>+(D151-$P151)/$P151</f>
        <v>-3.4958286421583371E-2</v>
      </c>
      <c r="F151" s="50">
        <f t="shared" si="15"/>
        <v>57500</v>
      </c>
      <c r="G151" s="50">
        <v>1380000</v>
      </c>
      <c r="H151" s="30">
        <f>+(G151-$P151)/$P151</f>
        <v>-3.4958286421583371E-2</v>
      </c>
      <c r="I151" s="50">
        <f t="shared" si="16"/>
        <v>57500</v>
      </c>
      <c r="J151" s="50">
        <v>1380000</v>
      </c>
      <c r="K151" s="30">
        <f>+(J151-$P151)/$P151</f>
        <v>-3.4958286421583371E-2</v>
      </c>
      <c r="L151" s="50">
        <f t="shared" si="17"/>
        <v>115000</v>
      </c>
      <c r="M151" s="50">
        <v>1500000</v>
      </c>
      <c r="N151" s="30">
        <f t="shared" si="18"/>
        <v>4.8958384324365903E-2</v>
      </c>
      <c r="O151" s="50">
        <f t="shared" si="19"/>
        <v>125000</v>
      </c>
      <c r="P151" s="50">
        <v>1429990</v>
      </c>
      <c r="Q151" t="s">
        <v>805</v>
      </c>
      <c r="R151" t="e">
        <f>VLOOKUP(B151,#REF!,1,0)</f>
        <v>#REF!</v>
      </c>
      <c r="S151" s="50">
        <v>286000</v>
      </c>
      <c r="T151" s="50">
        <v>-10300</v>
      </c>
      <c r="U151" s="50">
        <v>100600</v>
      </c>
      <c r="V151" s="50">
        <v>186000</v>
      </c>
      <c r="W151" s="50">
        <v>-10300</v>
      </c>
      <c r="X151" s="50">
        <v>600</v>
      </c>
      <c r="Y151" s="50">
        <v>186000</v>
      </c>
      <c r="Z151" s="50">
        <v>-10300</v>
      </c>
      <c r="AA151" s="50">
        <v>600</v>
      </c>
      <c r="AB151" s="50">
        <v>0</v>
      </c>
      <c r="AC151" s="50">
        <v>0</v>
      </c>
      <c r="AD151" s="50">
        <v>0</v>
      </c>
      <c r="AE151" s="50">
        <v>0</v>
      </c>
      <c r="AF151" s="50">
        <v>0</v>
      </c>
      <c r="AG151" s="50">
        <v>0</v>
      </c>
      <c r="AH151" s="50">
        <v>0</v>
      </c>
      <c r="AI151" s="50">
        <v>0</v>
      </c>
      <c r="AJ151" s="50">
        <v>0</v>
      </c>
      <c r="AK151" s="50">
        <v>96000</v>
      </c>
      <c r="AL151" s="50">
        <v>6.7133336596759408E-2</v>
      </c>
      <c r="AM151" s="50">
        <v>96000</v>
      </c>
      <c r="AN151" s="50">
        <v>6.7133336596759408E-2</v>
      </c>
      <c r="AO151" s="50">
        <v>8000</v>
      </c>
      <c r="AP151" s="50">
        <v>0</v>
      </c>
      <c r="AQ151" s="50">
        <v>0</v>
      </c>
      <c r="AR151" s="50">
        <v>0</v>
      </c>
      <c r="AT151" s="50">
        <v>1079990</v>
      </c>
      <c r="AU151" s="50">
        <v>46500</v>
      </c>
      <c r="AV151" s="50">
        <v>1916990</v>
      </c>
      <c r="AW151" s="50">
        <v>979990</v>
      </c>
      <c r="AX151" s="50">
        <v>46500</v>
      </c>
      <c r="AY151" s="50">
        <v>1816990</v>
      </c>
      <c r="AZ151" s="50">
        <v>979990</v>
      </c>
      <c r="BA151" s="50">
        <v>46500</v>
      </c>
      <c r="BB151" s="50">
        <v>1816990</v>
      </c>
      <c r="BC151" s="50">
        <v>1380000</v>
      </c>
      <c r="BD151" s="50">
        <v>-3.4958286421583371E-2</v>
      </c>
      <c r="BE151" s="50">
        <v>57500</v>
      </c>
      <c r="BF151" s="50">
        <v>1380000</v>
      </c>
      <c r="BG151" s="50">
        <v>-3.4958286421583371E-2</v>
      </c>
      <c r="BH151" s="50">
        <v>57500</v>
      </c>
      <c r="BI151" s="50">
        <v>1380000</v>
      </c>
      <c r="BJ151" s="50">
        <v>-3.4958286421583371E-2</v>
      </c>
      <c r="BK151" s="50">
        <v>115000</v>
      </c>
      <c r="BL151" s="50">
        <v>1404000</v>
      </c>
      <c r="BM151" s="50">
        <v>-1.8174952272393512E-2</v>
      </c>
      <c r="BN151" s="50">
        <v>1404000</v>
      </c>
      <c r="BO151" s="50">
        <v>-1.8174952272393512E-2</v>
      </c>
      <c r="BP151" s="50">
        <v>117000</v>
      </c>
      <c r="BQ151" s="50">
        <v>1429990</v>
      </c>
      <c r="BR151" s="50" t="s">
        <v>747</v>
      </c>
      <c r="BS151" s="50" t="s">
        <v>748</v>
      </c>
    </row>
    <row r="152" spans="1:71" ht="15.75" customHeight="1" x14ac:dyDescent="0.2">
      <c r="A152" s="25" t="s">
        <v>704</v>
      </c>
      <c r="B152" s="26" t="s">
        <v>705</v>
      </c>
      <c r="C152" s="27" t="s">
        <v>401</v>
      </c>
      <c r="D152" s="50">
        <v>1492800</v>
      </c>
      <c r="E152" s="30">
        <f>+(D152-$P152)/$P152</f>
        <v>-3.6897012238788635E-2</v>
      </c>
      <c r="F152" s="50">
        <f t="shared" si="15"/>
        <v>62200</v>
      </c>
      <c r="G152" s="50">
        <v>1492800</v>
      </c>
      <c r="H152" s="30">
        <f>+(G152-$P152)/$P152</f>
        <v>-3.6897012238788635E-2</v>
      </c>
      <c r="I152" s="50">
        <f t="shared" si="16"/>
        <v>62200</v>
      </c>
      <c r="J152" s="50">
        <v>1492800</v>
      </c>
      <c r="K152" s="30">
        <f>+(J152-$P152)/$P152</f>
        <v>-3.6897012238788635E-2</v>
      </c>
      <c r="L152" s="50">
        <f t="shared" si="17"/>
        <v>124400</v>
      </c>
      <c r="M152" s="50">
        <v>1612800</v>
      </c>
      <c r="N152" s="30">
        <f t="shared" si="18"/>
        <v>4.0522842082852145E-2</v>
      </c>
      <c r="O152" s="50">
        <f t="shared" si="19"/>
        <v>134400</v>
      </c>
      <c r="P152" s="50">
        <v>1549990</v>
      </c>
      <c r="Q152" t="s">
        <v>806</v>
      </c>
      <c r="R152" t="e">
        <f>VLOOKUP(B152,#REF!,1,0)</f>
        <v>#REF!</v>
      </c>
      <c r="S152" s="50">
        <v>299000</v>
      </c>
      <c r="T152" s="50">
        <v>-11000</v>
      </c>
      <c r="U152" s="50">
        <v>101000</v>
      </c>
      <c r="V152" s="50">
        <v>199000</v>
      </c>
      <c r="W152" s="50">
        <v>-11000</v>
      </c>
      <c r="X152" s="50">
        <v>1000</v>
      </c>
      <c r="Y152" s="50">
        <v>199000</v>
      </c>
      <c r="Z152" s="50">
        <v>-11000</v>
      </c>
      <c r="AA152" s="50">
        <v>1000</v>
      </c>
      <c r="AB152" s="50">
        <v>0</v>
      </c>
      <c r="AC152" s="50">
        <v>0</v>
      </c>
      <c r="AD152" s="50">
        <v>0</v>
      </c>
      <c r="AE152" s="50">
        <v>0</v>
      </c>
      <c r="AF152" s="50">
        <v>0</v>
      </c>
      <c r="AG152" s="50">
        <v>0</v>
      </c>
      <c r="AH152" s="50">
        <v>0</v>
      </c>
      <c r="AI152" s="50">
        <v>0</v>
      </c>
      <c r="AJ152" s="50">
        <v>0</v>
      </c>
      <c r="AK152" s="50">
        <v>96000</v>
      </c>
      <c r="AL152" s="50">
        <v>6.1935883457312629E-2</v>
      </c>
      <c r="AM152" s="50">
        <v>96000</v>
      </c>
      <c r="AN152" s="50">
        <v>6.1935883457312629E-2</v>
      </c>
      <c r="AO152" s="50">
        <v>8000</v>
      </c>
      <c r="AP152" s="50">
        <v>0</v>
      </c>
      <c r="AQ152" s="50">
        <v>0</v>
      </c>
      <c r="AR152" s="50">
        <v>0</v>
      </c>
      <c r="AT152" s="50">
        <v>1159990</v>
      </c>
      <c r="AU152" s="50">
        <v>50600</v>
      </c>
      <c r="AV152" s="50">
        <v>2070790</v>
      </c>
      <c r="AW152" s="50">
        <v>1059990</v>
      </c>
      <c r="AX152" s="50">
        <v>50600</v>
      </c>
      <c r="AY152" s="50">
        <v>1970790</v>
      </c>
      <c r="AZ152" s="50">
        <v>1059990</v>
      </c>
      <c r="BA152" s="50">
        <v>50600</v>
      </c>
      <c r="BB152" s="50">
        <v>1970790</v>
      </c>
      <c r="BC152" s="50">
        <v>1492800</v>
      </c>
      <c r="BD152" s="50">
        <v>-3.6897012238788635E-2</v>
      </c>
      <c r="BE152" s="50">
        <v>62200</v>
      </c>
      <c r="BF152" s="50">
        <v>1492800</v>
      </c>
      <c r="BG152" s="50">
        <v>-3.6897012238788635E-2</v>
      </c>
      <c r="BH152" s="50">
        <v>62200</v>
      </c>
      <c r="BI152" s="50">
        <v>1492800</v>
      </c>
      <c r="BJ152" s="50">
        <v>-3.6897012238788635E-2</v>
      </c>
      <c r="BK152" s="50">
        <v>124400</v>
      </c>
      <c r="BL152" s="50">
        <v>1516800</v>
      </c>
      <c r="BM152" s="50">
        <v>-2.1413041374460481E-2</v>
      </c>
      <c r="BN152" s="50">
        <v>1516800</v>
      </c>
      <c r="BO152" s="50">
        <v>-2.1413041374460481E-2</v>
      </c>
      <c r="BP152" s="50">
        <v>126400</v>
      </c>
      <c r="BQ152" s="50">
        <v>1549990</v>
      </c>
      <c r="BR152" s="50" t="s">
        <v>747</v>
      </c>
      <c r="BS152" s="50" t="s">
        <v>748</v>
      </c>
    </row>
    <row r="153" spans="1:71" ht="15.75" customHeight="1" x14ac:dyDescent="0.2">
      <c r="A153" s="25" t="s">
        <v>706</v>
      </c>
      <c r="B153" s="26" t="s">
        <v>707</v>
      </c>
      <c r="C153" s="27" t="s">
        <v>401</v>
      </c>
      <c r="D153" s="50">
        <v>1492800</v>
      </c>
      <c r="E153" s="30">
        <f>+(D153-$P153)/$P153</f>
        <v>-3.6897012238788635E-2</v>
      </c>
      <c r="F153" s="50">
        <f t="shared" si="15"/>
        <v>62200</v>
      </c>
      <c r="G153" s="50">
        <v>1492800</v>
      </c>
      <c r="H153" s="30">
        <f>+(G153-$P153)/$P153</f>
        <v>-3.6897012238788635E-2</v>
      </c>
      <c r="I153" s="50">
        <f t="shared" si="16"/>
        <v>62200</v>
      </c>
      <c r="J153" s="50">
        <v>1492800</v>
      </c>
      <c r="K153" s="30">
        <f>+(J153-$P153)/$P153</f>
        <v>-3.6897012238788635E-2</v>
      </c>
      <c r="L153" s="50">
        <f t="shared" si="17"/>
        <v>124400</v>
      </c>
      <c r="M153" s="50">
        <v>1612800</v>
      </c>
      <c r="N153" s="30">
        <f t="shared" si="18"/>
        <v>4.0522842082852145E-2</v>
      </c>
      <c r="O153" s="50">
        <f t="shared" si="19"/>
        <v>134400</v>
      </c>
      <c r="P153" s="50">
        <v>1549990</v>
      </c>
      <c r="Q153" t="s">
        <v>806</v>
      </c>
      <c r="R153" t="e">
        <f>VLOOKUP(B153,#REF!,1,0)</f>
        <v>#REF!</v>
      </c>
      <c r="S153" s="50">
        <v>299000</v>
      </c>
      <c r="T153" s="50">
        <v>-11000</v>
      </c>
      <c r="U153" s="50">
        <v>101000</v>
      </c>
      <c r="V153" s="50">
        <v>199000</v>
      </c>
      <c r="W153" s="50">
        <v>-11000</v>
      </c>
      <c r="X153" s="50">
        <v>1000</v>
      </c>
      <c r="Y153" s="50">
        <v>199000</v>
      </c>
      <c r="Z153" s="50">
        <v>-11000</v>
      </c>
      <c r="AA153" s="50">
        <v>1000</v>
      </c>
      <c r="AB153" s="50">
        <v>0</v>
      </c>
      <c r="AC153" s="50">
        <v>0</v>
      </c>
      <c r="AD153" s="50">
        <v>0</v>
      </c>
      <c r="AE153" s="50">
        <v>0</v>
      </c>
      <c r="AF153" s="50">
        <v>0</v>
      </c>
      <c r="AG153" s="50">
        <v>0</v>
      </c>
      <c r="AH153" s="50">
        <v>0</v>
      </c>
      <c r="AI153" s="50">
        <v>0</v>
      </c>
      <c r="AJ153" s="50">
        <v>0</v>
      </c>
      <c r="AK153" s="50">
        <v>96000</v>
      </c>
      <c r="AL153" s="50">
        <v>6.1935883457312629E-2</v>
      </c>
      <c r="AM153" s="50">
        <v>96000</v>
      </c>
      <c r="AN153" s="50">
        <v>6.1935883457312629E-2</v>
      </c>
      <c r="AO153" s="50">
        <v>8000</v>
      </c>
      <c r="AP153" s="50">
        <v>0</v>
      </c>
      <c r="AQ153" s="50">
        <v>0</v>
      </c>
      <c r="AR153" s="50">
        <v>0</v>
      </c>
      <c r="AT153" s="50">
        <v>1159990</v>
      </c>
      <c r="AU153" s="50">
        <v>50600</v>
      </c>
      <c r="AV153" s="50">
        <v>2070790</v>
      </c>
      <c r="AW153" s="50">
        <v>1059990</v>
      </c>
      <c r="AX153" s="50">
        <v>50600</v>
      </c>
      <c r="AY153" s="50">
        <v>1970790</v>
      </c>
      <c r="AZ153" s="50">
        <v>1059990</v>
      </c>
      <c r="BA153" s="50">
        <v>50600</v>
      </c>
      <c r="BB153" s="50">
        <v>1970790</v>
      </c>
      <c r="BC153" s="50">
        <v>1492800</v>
      </c>
      <c r="BD153" s="50">
        <v>-3.6897012238788635E-2</v>
      </c>
      <c r="BE153" s="50">
        <v>62200</v>
      </c>
      <c r="BF153" s="50">
        <v>1492800</v>
      </c>
      <c r="BG153" s="50">
        <v>-3.6897012238788635E-2</v>
      </c>
      <c r="BH153" s="50">
        <v>62200</v>
      </c>
      <c r="BI153" s="50">
        <v>1492800</v>
      </c>
      <c r="BJ153" s="50">
        <v>-3.6897012238788635E-2</v>
      </c>
      <c r="BK153" s="50">
        <v>124400</v>
      </c>
      <c r="BL153" s="50">
        <v>1516800</v>
      </c>
      <c r="BM153" s="50">
        <v>-2.1413041374460481E-2</v>
      </c>
      <c r="BN153" s="50">
        <v>1516800</v>
      </c>
      <c r="BO153" s="50">
        <v>-2.1413041374460481E-2</v>
      </c>
      <c r="BP153" s="50">
        <v>126400</v>
      </c>
      <c r="BQ153" s="50">
        <v>1549990</v>
      </c>
      <c r="BR153" s="50" t="s">
        <v>747</v>
      </c>
      <c r="BS153" s="50" t="s">
        <v>748</v>
      </c>
    </row>
    <row r="154" spans="1:71" ht="15.75" customHeight="1" x14ac:dyDescent="0.2">
      <c r="A154" s="25" t="s">
        <v>708</v>
      </c>
      <c r="B154" s="26" t="s">
        <v>709</v>
      </c>
      <c r="C154" s="27" t="s">
        <v>401</v>
      </c>
      <c r="D154" s="50">
        <v>1492800</v>
      </c>
      <c r="E154" s="30">
        <f>+(D154-$P154)/$P154</f>
        <v>-3.6897012238788635E-2</v>
      </c>
      <c r="F154" s="50">
        <f t="shared" si="15"/>
        <v>62200</v>
      </c>
      <c r="G154" s="50">
        <v>1492800</v>
      </c>
      <c r="H154" s="30">
        <f>+(G154-$P154)/$P154</f>
        <v>-3.6897012238788635E-2</v>
      </c>
      <c r="I154" s="50">
        <f t="shared" si="16"/>
        <v>62200</v>
      </c>
      <c r="J154" s="50">
        <v>1492800</v>
      </c>
      <c r="K154" s="30">
        <f>+(J154-$P154)/$P154</f>
        <v>-3.6897012238788635E-2</v>
      </c>
      <c r="L154" s="50">
        <f t="shared" si="17"/>
        <v>124400</v>
      </c>
      <c r="M154" s="50">
        <v>1612800</v>
      </c>
      <c r="N154" s="30">
        <f t="shared" si="18"/>
        <v>4.0522842082852145E-2</v>
      </c>
      <c r="O154" s="50">
        <f t="shared" si="19"/>
        <v>134400</v>
      </c>
      <c r="P154" s="50">
        <v>1549990</v>
      </c>
      <c r="Q154" t="s">
        <v>806</v>
      </c>
      <c r="R154" t="e">
        <f>VLOOKUP(B154,#REF!,1,0)</f>
        <v>#REF!</v>
      </c>
      <c r="S154" s="50">
        <v>299000</v>
      </c>
      <c r="T154" s="50">
        <v>-11000</v>
      </c>
      <c r="U154" s="50">
        <v>101000</v>
      </c>
      <c r="V154" s="50">
        <v>199000</v>
      </c>
      <c r="W154" s="50">
        <v>-11000</v>
      </c>
      <c r="X154" s="50">
        <v>1000</v>
      </c>
      <c r="Y154" s="50">
        <v>199000</v>
      </c>
      <c r="Z154" s="50">
        <v>-11000</v>
      </c>
      <c r="AA154" s="50">
        <v>1000</v>
      </c>
      <c r="AB154" s="50">
        <v>0</v>
      </c>
      <c r="AC154" s="50">
        <v>0</v>
      </c>
      <c r="AD154" s="50">
        <v>0</v>
      </c>
      <c r="AE154" s="50">
        <v>0</v>
      </c>
      <c r="AF154" s="50">
        <v>0</v>
      </c>
      <c r="AG154" s="50">
        <v>0</v>
      </c>
      <c r="AH154" s="50">
        <v>0</v>
      </c>
      <c r="AI154" s="50">
        <v>0</v>
      </c>
      <c r="AJ154" s="50">
        <v>0</v>
      </c>
      <c r="AK154" s="50">
        <v>96000</v>
      </c>
      <c r="AL154" s="50">
        <v>6.1935883457312629E-2</v>
      </c>
      <c r="AM154" s="50">
        <v>96000</v>
      </c>
      <c r="AN154" s="50">
        <v>6.1935883457312629E-2</v>
      </c>
      <c r="AO154" s="50">
        <v>8000</v>
      </c>
      <c r="AP154" s="50">
        <v>0</v>
      </c>
      <c r="AQ154" s="50">
        <v>0</v>
      </c>
      <c r="AR154" s="50">
        <v>0</v>
      </c>
      <c r="AT154" s="50">
        <v>1159990</v>
      </c>
      <c r="AU154" s="50">
        <v>50600</v>
      </c>
      <c r="AV154" s="50">
        <v>2070790</v>
      </c>
      <c r="AW154" s="50">
        <v>1059990</v>
      </c>
      <c r="AX154" s="50">
        <v>50600</v>
      </c>
      <c r="AY154" s="50">
        <v>1970790</v>
      </c>
      <c r="AZ154" s="50">
        <v>1059990</v>
      </c>
      <c r="BA154" s="50">
        <v>50600</v>
      </c>
      <c r="BB154" s="50">
        <v>1970790</v>
      </c>
      <c r="BC154" s="50">
        <v>1492800</v>
      </c>
      <c r="BD154" s="50">
        <v>-3.6897012238788635E-2</v>
      </c>
      <c r="BE154" s="50">
        <v>62200</v>
      </c>
      <c r="BF154" s="50">
        <v>1492800</v>
      </c>
      <c r="BG154" s="50">
        <v>-3.6897012238788635E-2</v>
      </c>
      <c r="BH154" s="50">
        <v>62200</v>
      </c>
      <c r="BI154" s="50">
        <v>1492800</v>
      </c>
      <c r="BJ154" s="50">
        <v>-3.6897012238788635E-2</v>
      </c>
      <c r="BK154" s="50">
        <v>124400</v>
      </c>
      <c r="BL154" s="50">
        <v>1516800</v>
      </c>
      <c r="BM154" s="50">
        <v>-2.1413041374460481E-2</v>
      </c>
      <c r="BN154" s="50">
        <v>1516800</v>
      </c>
      <c r="BO154" s="50">
        <v>-2.1413041374460481E-2</v>
      </c>
      <c r="BP154" s="50">
        <v>126400</v>
      </c>
      <c r="BQ154" s="50">
        <v>1549990</v>
      </c>
      <c r="BR154" s="50" t="s">
        <v>747</v>
      </c>
      <c r="BS154" s="50" t="s">
        <v>748</v>
      </c>
    </row>
    <row r="155" spans="1:71" ht="15.75" customHeight="1" x14ac:dyDescent="0.2">
      <c r="A155" s="25" t="s">
        <v>710</v>
      </c>
      <c r="B155" s="26" t="s">
        <v>711</v>
      </c>
      <c r="C155" s="27" t="s">
        <v>401</v>
      </c>
      <c r="D155" s="50">
        <v>1380000</v>
      </c>
      <c r="E155" s="30">
        <f>+(D155-$P155)/$P155</f>
        <v>-0.1834271208705377</v>
      </c>
      <c r="F155" s="50">
        <f t="shared" si="15"/>
        <v>57500</v>
      </c>
      <c r="G155" s="50">
        <v>1380000</v>
      </c>
      <c r="H155" s="30">
        <f>+(G155-$P155)/$P155</f>
        <v>-0.1834271208705377</v>
      </c>
      <c r="I155" s="50">
        <f t="shared" si="16"/>
        <v>57500</v>
      </c>
      <c r="J155" s="50">
        <v>1380000</v>
      </c>
      <c r="K155" s="30">
        <f>+(J155-$P155)/$P155</f>
        <v>-0.1834271208705377</v>
      </c>
      <c r="L155" s="50">
        <f t="shared" si="17"/>
        <v>115000</v>
      </c>
      <c r="M155" s="50">
        <v>1500000</v>
      </c>
      <c r="N155" s="30">
        <f t="shared" si="18"/>
        <v>-0.11242078355493228</v>
      </c>
      <c r="O155" s="50">
        <f t="shared" si="19"/>
        <v>125000</v>
      </c>
      <c r="P155" s="50">
        <v>1689990</v>
      </c>
      <c r="Q155" t="s">
        <v>807</v>
      </c>
      <c r="R155" t="e">
        <f>VLOOKUP(B155,#REF!,1,0)</f>
        <v>#REF!</v>
      </c>
      <c r="S155" s="50">
        <v>311000</v>
      </c>
      <c r="T155" s="50">
        <v>-11700</v>
      </c>
      <c r="U155" s="50">
        <v>100400</v>
      </c>
      <c r="V155" s="50">
        <v>211000</v>
      </c>
      <c r="W155" s="50">
        <v>-11700</v>
      </c>
      <c r="X155" s="50">
        <v>400</v>
      </c>
      <c r="Y155" s="50">
        <v>211000</v>
      </c>
      <c r="Z155" s="50">
        <v>-11700</v>
      </c>
      <c r="AA155" s="50">
        <v>400</v>
      </c>
      <c r="AB155" s="50">
        <v>0</v>
      </c>
      <c r="AC155" s="50">
        <v>0</v>
      </c>
      <c r="AD155" s="50">
        <v>0</v>
      </c>
      <c r="AE155" s="50">
        <v>0</v>
      </c>
      <c r="AF155" s="50">
        <v>0</v>
      </c>
      <c r="AG155" s="50">
        <v>0</v>
      </c>
      <c r="AH155" s="50">
        <v>0</v>
      </c>
      <c r="AI155" s="50">
        <v>0</v>
      </c>
      <c r="AJ155" s="50">
        <v>0</v>
      </c>
      <c r="AK155" s="50">
        <v>96000</v>
      </c>
      <c r="AL155" s="50">
        <v>5.6805069852484333E-2</v>
      </c>
      <c r="AM155" s="50">
        <v>96000</v>
      </c>
      <c r="AN155" s="50">
        <v>5.6805069852484333E-2</v>
      </c>
      <c r="AO155" s="50">
        <v>8000</v>
      </c>
      <c r="AP155" s="50">
        <v>0</v>
      </c>
      <c r="AQ155" s="50">
        <v>0</v>
      </c>
      <c r="AR155" s="50">
        <v>0</v>
      </c>
      <c r="AT155" s="50">
        <v>1249990</v>
      </c>
      <c r="AU155" s="50">
        <v>55400</v>
      </c>
      <c r="AV155" s="50">
        <v>2247190</v>
      </c>
      <c r="AW155" s="50">
        <v>1149990</v>
      </c>
      <c r="AX155" s="50">
        <v>55400</v>
      </c>
      <c r="AY155" s="50">
        <v>2147190</v>
      </c>
      <c r="AZ155" s="50">
        <v>1149990</v>
      </c>
      <c r="BA155" s="50">
        <v>55400</v>
      </c>
      <c r="BB155" s="50">
        <v>2147190</v>
      </c>
      <c r="BC155" s="50">
        <v>1380000</v>
      </c>
      <c r="BD155" s="50">
        <v>-0.1834271208705377</v>
      </c>
      <c r="BE155" s="50">
        <v>57500</v>
      </c>
      <c r="BF155" s="50">
        <v>1380000</v>
      </c>
      <c r="BG155" s="50">
        <v>-0.1834271208705377</v>
      </c>
      <c r="BH155" s="50">
        <v>57500</v>
      </c>
      <c r="BI155" s="50">
        <v>1380000</v>
      </c>
      <c r="BJ155" s="50">
        <v>-0.1834271208705377</v>
      </c>
      <c r="BK155" s="50">
        <v>115000</v>
      </c>
      <c r="BL155" s="50">
        <v>1404000</v>
      </c>
      <c r="BM155" s="50">
        <v>-0.16922585340741661</v>
      </c>
      <c r="BN155" s="50">
        <v>1404000</v>
      </c>
      <c r="BO155" s="50">
        <v>-0.16922585340741661</v>
      </c>
      <c r="BP155" s="50">
        <v>117000</v>
      </c>
      <c r="BQ155" s="50">
        <v>1689990</v>
      </c>
      <c r="BR155" s="50" t="s">
        <v>747</v>
      </c>
      <c r="BS155" s="50" t="s">
        <v>748</v>
      </c>
    </row>
    <row r="156" spans="1:71" ht="15.75" customHeight="1" x14ac:dyDescent="0.2">
      <c r="A156" s="25" t="s">
        <v>712</v>
      </c>
      <c r="B156" s="26" t="s">
        <v>713</v>
      </c>
      <c r="C156" s="27" t="s">
        <v>401</v>
      </c>
      <c r="D156" s="50">
        <v>1380000</v>
      </c>
      <c r="E156" s="30">
        <f>+(D156-$P156)/$P156</f>
        <v>-0.1834271208705377</v>
      </c>
      <c r="F156" s="50">
        <f t="shared" si="15"/>
        <v>57500</v>
      </c>
      <c r="G156" s="50">
        <v>1380000</v>
      </c>
      <c r="H156" s="30">
        <f>+(G156-$P156)/$P156</f>
        <v>-0.1834271208705377</v>
      </c>
      <c r="I156" s="50">
        <f t="shared" si="16"/>
        <v>57500</v>
      </c>
      <c r="J156" s="50">
        <v>1380000</v>
      </c>
      <c r="K156" s="30">
        <f>+(J156-$P156)/$P156</f>
        <v>-0.1834271208705377</v>
      </c>
      <c r="L156" s="50">
        <f t="shared" si="17"/>
        <v>115000</v>
      </c>
      <c r="M156" s="50">
        <v>1500000</v>
      </c>
      <c r="N156" s="30">
        <f t="shared" si="18"/>
        <v>-0.11242078355493228</v>
      </c>
      <c r="O156" s="50">
        <f t="shared" si="19"/>
        <v>125000</v>
      </c>
      <c r="P156" s="50">
        <v>1689990</v>
      </c>
      <c r="Q156" t="s">
        <v>807</v>
      </c>
      <c r="R156" t="e">
        <f>VLOOKUP(B156,#REF!,1,0)</f>
        <v>#REF!</v>
      </c>
      <c r="S156" s="50">
        <v>311000</v>
      </c>
      <c r="T156" s="50">
        <v>-11700</v>
      </c>
      <c r="U156" s="50">
        <v>100400</v>
      </c>
      <c r="V156" s="50">
        <v>211000</v>
      </c>
      <c r="W156" s="50">
        <v>-11700</v>
      </c>
      <c r="X156" s="50">
        <v>400</v>
      </c>
      <c r="Y156" s="50">
        <v>211000</v>
      </c>
      <c r="Z156" s="50">
        <v>-11700</v>
      </c>
      <c r="AA156" s="50">
        <v>400</v>
      </c>
      <c r="AB156" s="50">
        <v>0</v>
      </c>
      <c r="AC156" s="50">
        <v>0</v>
      </c>
      <c r="AD156" s="50">
        <v>0</v>
      </c>
      <c r="AE156" s="50">
        <v>0</v>
      </c>
      <c r="AF156" s="50">
        <v>0</v>
      </c>
      <c r="AG156" s="50">
        <v>0</v>
      </c>
      <c r="AH156" s="50">
        <v>0</v>
      </c>
      <c r="AI156" s="50">
        <v>0</v>
      </c>
      <c r="AJ156" s="50">
        <v>0</v>
      </c>
      <c r="AK156" s="50">
        <v>96000</v>
      </c>
      <c r="AL156" s="50">
        <v>5.6805069852484333E-2</v>
      </c>
      <c r="AM156" s="50">
        <v>96000</v>
      </c>
      <c r="AN156" s="50">
        <v>5.6805069852484333E-2</v>
      </c>
      <c r="AO156" s="50">
        <v>8000</v>
      </c>
      <c r="AP156" s="50">
        <v>0</v>
      </c>
      <c r="AQ156" s="50">
        <v>0</v>
      </c>
      <c r="AR156" s="50">
        <v>0</v>
      </c>
      <c r="AT156" s="50">
        <v>1249990</v>
      </c>
      <c r="AU156" s="50">
        <v>55400</v>
      </c>
      <c r="AV156" s="50">
        <v>2247190</v>
      </c>
      <c r="AW156" s="50">
        <v>1149990</v>
      </c>
      <c r="AX156" s="50">
        <v>55400</v>
      </c>
      <c r="AY156" s="50">
        <v>2147190</v>
      </c>
      <c r="AZ156" s="50">
        <v>1149990</v>
      </c>
      <c r="BA156" s="50">
        <v>55400</v>
      </c>
      <c r="BB156" s="50">
        <v>2147190</v>
      </c>
      <c r="BC156" s="50">
        <v>1380000</v>
      </c>
      <c r="BD156" s="50">
        <v>-0.1834271208705377</v>
      </c>
      <c r="BE156" s="50">
        <v>57500</v>
      </c>
      <c r="BF156" s="50">
        <v>1380000</v>
      </c>
      <c r="BG156" s="50">
        <v>-0.1834271208705377</v>
      </c>
      <c r="BH156" s="50">
        <v>57500</v>
      </c>
      <c r="BI156" s="50">
        <v>1380000</v>
      </c>
      <c r="BJ156" s="50">
        <v>-0.1834271208705377</v>
      </c>
      <c r="BK156" s="50">
        <v>115000</v>
      </c>
      <c r="BL156" s="50">
        <v>1404000</v>
      </c>
      <c r="BM156" s="50">
        <v>-0.16922585340741661</v>
      </c>
      <c r="BN156" s="50">
        <v>1404000</v>
      </c>
      <c r="BO156" s="50">
        <v>-0.16922585340741661</v>
      </c>
      <c r="BP156" s="50">
        <v>117000</v>
      </c>
      <c r="BQ156" s="50">
        <v>1689990</v>
      </c>
      <c r="BR156" s="50" t="s">
        <v>747</v>
      </c>
      <c r="BS156" s="50" t="s">
        <v>748</v>
      </c>
    </row>
    <row r="157" spans="1:71" ht="15.75" customHeight="1" x14ac:dyDescent="0.2">
      <c r="A157" s="25" t="s">
        <v>714</v>
      </c>
      <c r="B157" s="26" t="s">
        <v>715</v>
      </c>
      <c r="C157" s="27" t="s">
        <v>401</v>
      </c>
      <c r="D157" s="50">
        <v>1380000</v>
      </c>
      <c r="E157" s="30">
        <f>+(D157-$P157)/$P157</f>
        <v>-0.1834271208705377</v>
      </c>
      <c r="F157" s="50">
        <f t="shared" si="15"/>
        <v>57500</v>
      </c>
      <c r="G157" s="50">
        <v>1380000</v>
      </c>
      <c r="H157" s="30">
        <f>+(G157-$P157)/$P157</f>
        <v>-0.1834271208705377</v>
      </c>
      <c r="I157" s="50">
        <f t="shared" si="16"/>
        <v>57500</v>
      </c>
      <c r="J157" s="50">
        <v>1380000</v>
      </c>
      <c r="K157" s="30">
        <f>+(J157-$P157)/$P157</f>
        <v>-0.1834271208705377</v>
      </c>
      <c r="L157" s="50">
        <f t="shared" si="17"/>
        <v>115000</v>
      </c>
      <c r="M157" s="50">
        <v>1500000</v>
      </c>
      <c r="N157" s="30">
        <f t="shared" si="18"/>
        <v>-0.11242078355493228</v>
      </c>
      <c r="O157" s="50">
        <f t="shared" si="19"/>
        <v>125000</v>
      </c>
      <c r="P157" s="50">
        <v>1689990</v>
      </c>
      <c r="Q157" t="s">
        <v>807</v>
      </c>
      <c r="R157" t="e">
        <f>VLOOKUP(B157,#REF!,1,0)</f>
        <v>#REF!</v>
      </c>
      <c r="S157" s="50">
        <v>311000</v>
      </c>
      <c r="T157" s="50">
        <v>-11700</v>
      </c>
      <c r="U157" s="50">
        <v>100400</v>
      </c>
      <c r="V157" s="50">
        <v>211000</v>
      </c>
      <c r="W157" s="50">
        <v>-11700</v>
      </c>
      <c r="X157" s="50">
        <v>400</v>
      </c>
      <c r="Y157" s="50">
        <v>211000</v>
      </c>
      <c r="Z157" s="50">
        <v>-11700</v>
      </c>
      <c r="AA157" s="50">
        <v>400</v>
      </c>
      <c r="AB157" s="50">
        <v>0</v>
      </c>
      <c r="AC157" s="50">
        <v>0</v>
      </c>
      <c r="AD157" s="50">
        <v>0</v>
      </c>
      <c r="AE157" s="50">
        <v>0</v>
      </c>
      <c r="AF157" s="50">
        <v>0</v>
      </c>
      <c r="AG157" s="50">
        <v>0</v>
      </c>
      <c r="AH157" s="50">
        <v>0</v>
      </c>
      <c r="AI157" s="50">
        <v>0</v>
      </c>
      <c r="AJ157" s="50">
        <v>0</v>
      </c>
      <c r="AK157" s="50">
        <v>96000</v>
      </c>
      <c r="AL157" s="50">
        <v>5.6805069852484333E-2</v>
      </c>
      <c r="AM157" s="50">
        <v>96000</v>
      </c>
      <c r="AN157" s="50">
        <v>5.6805069852484333E-2</v>
      </c>
      <c r="AO157" s="50">
        <v>8000</v>
      </c>
      <c r="AP157" s="50">
        <v>0</v>
      </c>
      <c r="AQ157" s="50">
        <v>0</v>
      </c>
      <c r="AR157" s="50">
        <v>0</v>
      </c>
      <c r="AT157" s="50">
        <v>1249990</v>
      </c>
      <c r="AU157" s="50">
        <v>55400</v>
      </c>
      <c r="AV157" s="50">
        <v>2247190</v>
      </c>
      <c r="AW157" s="50">
        <v>1149990</v>
      </c>
      <c r="AX157" s="50">
        <v>55400</v>
      </c>
      <c r="AY157" s="50">
        <v>2147190</v>
      </c>
      <c r="AZ157" s="50">
        <v>1149990</v>
      </c>
      <c r="BA157" s="50">
        <v>55400</v>
      </c>
      <c r="BB157" s="50">
        <v>2147190</v>
      </c>
      <c r="BC157" s="50">
        <v>1380000</v>
      </c>
      <c r="BD157" s="50">
        <v>-0.1834271208705377</v>
      </c>
      <c r="BE157" s="50">
        <v>57500</v>
      </c>
      <c r="BF157" s="50">
        <v>1380000</v>
      </c>
      <c r="BG157" s="50">
        <v>-0.1834271208705377</v>
      </c>
      <c r="BH157" s="50">
        <v>57500</v>
      </c>
      <c r="BI157" s="50">
        <v>1380000</v>
      </c>
      <c r="BJ157" s="50">
        <v>-0.1834271208705377</v>
      </c>
      <c r="BK157" s="50">
        <v>115000</v>
      </c>
      <c r="BL157" s="50">
        <v>1404000</v>
      </c>
      <c r="BM157" s="50">
        <v>-0.16922585340741661</v>
      </c>
      <c r="BN157" s="50">
        <v>1404000</v>
      </c>
      <c r="BO157" s="50">
        <v>-0.16922585340741661</v>
      </c>
      <c r="BP157" s="50">
        <v>117000</v>
      </c>
      <c r="BQ157" s="50">
        <v>1689990</v>
      </c>
      <c r="BR157" s="50" t="s">
        <v>747</v>
      </c>
      <c r="BS157" s="50" t="s">
        <v>748</v>
      </c>
    </row>
    <row r="158" spans="1:71" ht="15.75" customHeight="1" x14ac:dyDescent="0.2">
      <c r="A158" s="25" t="s">
        <v>716</v>
      </c>
      <c r="B158" s="26" t="s">
        <v>717</v>
      </c>
      <c r="C158" s="27" t="s">
        <v>401</v>
      </c>
      <c r="D158" s="50">
        <v>1200000</v>
      </c>
      <c r="E158" s="30">
        <f>+(D158-$P158)/$P158</f>
        <v>-0.29411349478526344</v>
      </c>
      <c r="F158" s="50">
        <f t="shared" si="15"/>
        <v>50000</v>
      </c>
      <c r="G158" s="50">
        <v>1200000</v>
      </c>
      <c r="H158" s="30">
        <f>+(G158-$P158)/$P158</f>
        <v>-0.29411349478526344</v>
      </c>
      <c r="I158" s="50">
        <f t="shared" si="16"/>
        <v>50000</v>
      </c>
      <c r="J158" s="50">
        <v>1200000</v>
      </c>
      <c r="K158" s="30">
        <f>+(J158-$P158)/$P158</f>
        <v>-0.29411349478526344</v>
      </c>
      <c r="L158" s="50">
        <f t="shared" si="17"/>
        <v>100000</v>
      </c>
      <c r="M158" s="50">
        <v>1320000</v>
      </c>
      <c r="N158" s="30">
        <f t="shared" si="18"/>
        <v>-0.2235248442637898</v>
      </c>
      <c r="O158" s="50">
        <f t="shared" si="19"/>
        <v>110000</v>
      </c>
      <c r="P158" s="50">
        <v>1699990</v>
      </c>
      <c r="Q158" t="s">
        <v>808</v>
      </c>
      <c r="R158" t="e">
        <f>VLOOKUP(B158,#REF!,1,0)</f>
        <v>#REF!</v>
      </c>
      <c r="S158" s="50">
        <v>-21000</v>
      </c>
      <c r="T158" s="50">
        <v>1200</v>
      </c>
      <c r="U158" s="50">
        <v>600</v>
      </c>
      <c r="V158" s="50">
        <v>-21000</v>
      </c>
      <c r="W158" s="50">
        <v>1200</v>
      </c>
      <c r="X158" s="50">
        <v>600</v>
      </c>
      <c r="Y158" s="50">
        <v>-21000</v>
      </c>
      <c r="Z158" s="50">
        <v>1200</v>
      </c>
      <c r="AA158" s="50">
        <v>600</v>
      </c>
      <c r="AB158" s="50">
        <v>0</v>
      </c>
      <c r="AC158" s="50">
        <v>0</v>
      </c>
      <c r="AD158" s="50">
        <v>0</v>
      </c>
      <c r="AE158" s="50">
        <v>0</v>
      </c>
      <c r="AF158" s="50">
        <v>0</v>
      </c>
      <c r="AG158" s="50">
        <v>0</v>
      </c>
      <c r="AH158" s="50">
        <v>0</v>
      </c>
      <c r="AI158" s="50">
        <v>0</v>
      </c>
      <c r="AJ158" s="50">
        <v>0</v>
      </c>
      <c r="AK158" s="50">
        <v>0</v>
      </c>
      <c r="AL158" s="50">
        <v>0</v>
      </c>
      <c r="AM158" s="50">
        <v>0</v>
      </c>
      <c r="AN158" s="50">
        <v>0</v>
      </c>
      <c r="AO158" s="50">
        <v>0</v>
      </c>
      <c r="AP158" s="50">
        <v>0</v>
      </c>
      <c r="AQ158" s="50">
        <v>0</v>
      </c>
      <c r="AR158" s="50">
        <v>0</v>
      </c>
      <c r="AT158" s="50">
        <v>799990</v>
      </c>
      <c r="AU158" s="50">
        <v>51900</v>
      </c>
      <c r="AV158" s="50">
        <v>1734190</v>
      </c>
      <c r="AW158" s="50">
        <v>799990</v>
      </c>
      <c r="AX158" s="50">
        <v>51900</v>
      </c>
      <c r="AY158" s="50">
        <v>1734190</v>
      </c>
      <c r="AZ158" s="50">
        <v>799990</v>
      </c>
      <c r="BA158" s="50">
        <v>51900</v>
      </c>
      <c r="BB158" s="50">
        <v>1734190</v>
      </c>
      <c r="BC158" s="50">
        <v>1200000</v>
      </c>
      <c r="BD158" s="50">
        <v>-0.29411349478526344</v>
      </c>
      <c r="BE158" s="50">
        <v>50000</v>
      </c>
      <c r="BF158" s="50">
        <v>1200000</v>
      </c>
      <c r="BG158" s="50">
        <v>-0.29411349478526344</v>
      </c>
      <c r="BH158" s="50">
        <v>50000</v>
      </c>
      <c r="BI158" s="50">
        <v>1200000</v>
      </c>
      <c r="BJ158" s="50">
        <v>-0.29411349478526344</v>
      </c>
      <c r="BK158" s="50">
        <v>100000</v>
      </c>
      <c r="BL158" s="50">
        <v>1320000</v>
      </c>
      <c r="BM158" s="50">
        <v>-0.2235248442637898</v>
      </c>
      <c r="BN158" s="50">
        <v>1320000</v>
      </c>
      <c r="BO158" s="50">
        <v>-0.2235248442637898</v>
      </c>
      <c r="BP158" s="50">
        <v>110000</v>
      </c>
      <c r="BQ158" s="50">
        <v>1699990</v>
      </c>
      <c r="BR158" s="50" t="s">
        <v>747</v>
      </c>
      <c r="BS158" s="50" t="s">
        <v>748</v>
      </c>
    </row>
    <row r="159" spans="1:71" ht="15.75" customHeight="1" x14ac:dyDescent="0.2">
      <c r="A159" s="25" t="s">
        <v>718</v>
      </c>
      <c r="B159" s="26" t="s">
        <v>719</v>
      </c>
      <c r="C159" s="27" t="s">
        <v>401</v>
      </c>
      <c r="D159" s="50">
        <v>1200000</v>
      </c>
      <c r="E159" s="30">
        <f>+(D159-$P159)/$P159</f>
        <v>-0.29411349478526344</v>
      </c>
      <c r="F159" s="50">
        <f t="shared" si="15"/>
        <v>50000</v>
      </c>
      <c r="G159" s="50">
        <v>1200000</v>
      </c>
      <c r="H159" s="30">
        <f>+(G159-$P159)/$P159</f>
        <v>-0.29411349478526344</v>
      </c>
      <c r="I159" s="50">
        <f t="shared" si="16"/>
        <v>50000</v>
      </c>
      <c r="J159" s="50">
        <v>1200000</v>
      </c>
      <c r="K159" s="30">
        <f>+(J159-$P159)/$P159</f>
        <v>-0.29411349478526344</v>
      </c>
      <c r="L159" s="50">
        <f t="shared" si="17"/>
        <v>100000</v>
      </c>
      <c r="M159" s="50">
        <v>1320000</v>
      </c>
      <c r="N159" s="30">
        <f t="shared" si="18"/>
        <v>-0.2235248442637898</v>
      </c>
      <c r="O159" s="50">
        <f t="shared" si="19"/>
        <v>110000</v>
      </c>
      <c r="P159" s="50">
        <v>1699990</v>
      </c>
      <c r="Q159" t="s">
        <v>808</v>
      </c>
      <c r="R159" t="e">
        <f>VLOOKUP(B159,#REF!,1,0)</f>
        <v>#REF!</v>
      </c>
      <c r="S159" s="50">
        <v>-21000</v>
      </c>
      <c r="T159" s="50">
        <v>1200</v>
      </c>
      <c r="U159" s="50">
        <v>600</v>
      </c>
      <c r="V159" s="50">
        <v>-21000</v>
      </c>
      <c r="W159" s="50">
        <v>1200</v>
      </c>
      <c r="X159" s="50">
        <v>600</v>
      </c>
      <c r="Y159" s="50">
        <v>-21000</v>
      </c>
      <c r="Z159" s="50">
        <v>1200</v>
      </c>
      <c r="AA159" s="50">
        <v>600</v>
      </c>
      <c r="AB159" s="50">
        <v>0</v>
      </c>
      <c r="AC159" s="50">
        <v>0</v>
      </c>
      <c r="AD159" s="50">
        <v>0</v>
      </c>
      <c r="AE159" s="50">
        <v>0</v>
      </c>
      <c r="AF159" s="50">
        <v>0</v>
      </c>
      <c r="AG159" s="50">
        <v>0</v>
      </c>
      <c r="AH159" s="50">
        <v>0</v>
      </c>
      <c r="AI159" s="50">
        <v>0</v>
      </c>
      <c r="AJ159" s="50">
        <v>0</v>
      </c>
      <c r="AK159" s="50">
        <v>0</v>
      </c>
      <c r="AL159" s="50">
        <v>0</v>
      </c>
      <c r="AM159" s="50">
        <v>0</v>
      </c>
      <c r="AN159" s="50">
        <v>0</v>
      </c>
      <c r="AO159" s="50">
        <v>0</v>
      </c>
      <c r="AP159" s="50">
        <v>0</v>
      </c>
      <c r="AQ159" s="50">
        <v>0</v>
      </c>
      <c r="AR159" s="50">
        <v>0</v>
      </c>
      <c r="AT159" s="50">
        <v>799990</v>
      </c>
      <c r="AU159" s="50">
        <v>51900</v>
      </c>
      <c r="AV159" s="50">
        <v>1734190</v>
      </c>
      <c r="AW159" s="50">
        <v>799990</v>
      </c>
      <c r="AX159" s="50">
        <v>51900</v>
      </c>
      <c r="AY159" s="50">
        <v>1734190</v>
      </c>
      <c r="AZ159" s="50">
        <v>799990</v>
      </c>
      <c r="BA159" s="50">
        <v>51900</v>
      </c>
      <c r="BB159" s="50">
        <v>1734190</v>
      </c>
      <c r="BC159" s="50">
        <v>1200000</v>
      </c>
      <c r="BD159" s="50">
        <v>-0.29411349478526344</v>
      </c>
      <c r="BE159" s="50">
        <v>50000</v>
      </c>
      <c r="BF159" s="50">
        <v>1200000</v>
      </c>
      <c r="BG159" s="50">
        <v>-0.29411349478526344</v>
      </c>
      <c r="BH159" s="50">
        <v>50000</v>
      </c>
      <c r="BI159" s="50">
        <v>1200000</v>
      </c>
      <c r="BJ159" s="50">
        <v>-0.29411349478526344</v>
      </c>
      <c r="BK159" s="50">
        <v>100000</v>
      </c>
      <c r="BL159" s="50">
        <v>1320000</v>
      </c>
      <c r="BM159" s="50">
        <v>-0.2235248442637898</v>
      </c>
      <c r="BN159" s="50">
        <v>1320000</v>
      </c>
      <c r="BO159" s="50">
        <v>-0.2235248442637898</v>
      </c>
      <c r="BP159" s="50">
        <v>110000</v>
      </c>
      <c r="BQ159" s="50">
        <v>1699990</v>
      </c>
      <c r="BR159" s="50" t="s">
        <v>747</v>
      </c>
      <c r="BS159" s="50" t="s">
        <v>748</v>
      </c>
    </row>
    <row r="160" spans="1:71" ht="15.75" customHeight="1" x14ac:dyDescent="0.2">
      <c r="A160" s="25" t="s">
        <v>720</v>
      </c>
      <c r="B160" s="26" t="s">
        <v>721</v>
      </c>
      <c r="C160" s="27" t="s">
        <v>401</v>
      </c>
      <c r="D160" s="50">
        <v>1744800</v>
      </c>
      <c r="E160" s="30">
        <f>+(D160-$P160)/$P160</f>
        <v>-3.6016773573334659E-2</v>
      </c>
      <c r="F160" s="50">
        <f t="shared" si="15"/>
        <v>72700</v>
      </c>
      <c r="G160" s="50">
        <v>1744800</v>
      </c>
      <c r="H160" s="30">
        <f>+(G160-$P160)/$P160</f>
        <v>-3.6016773573334659E-2</v>
      </c>
      <c r="I160" s="50">
        <f t="shared" si="16"/>
        <v>72700</v>
      </c>
      <c r="J160" s="50">
        <v>1744800</v>
      </c>
      <c r="K160" s="30">
        <f>+(J160-$P160)/$P160</f>
        <v>-3.6016773573334659E-2</v>
      </c>
      <c r="L160" s="50">
        <f t="shared" si="17"/>
        <v>145400</v>
      </c>
      <c r="M160" s="50">
        <v>1864800</v>
      </c>
      <c r="N160" s="30">
        <f t="shared" si="18"/>
        <v>3.0281935259310826E-2</v>
      </c>
      <c r="O160" s="50">
        <f t="shared" si="19"/>
        <v>155400</v>
      </c>
      <c r="P160" s="50">
        <v>1809990</v>
      </c>
      <c r="Q160" t="s">
        <v>809</v>
      </c>
      <c r="R160" t="e">
        <f>VLOOKUP(B160,#REF!,1,0)</f>
        <v>#REF!</v>
      </c>
      <c r="S160" s="50">
        <v>324000</v>
      </c>
      <c r="T160" s="50">
        <v>-12400</v>
      </c>
      <c r="U160" s="50">
        <v>100800</v>
      </c>
      <c r="V160" s="50">
        <v>224000</v>
      </c>
      <c r="W160" s="50">
        <v>-12400</v>
      </c>
      <c r="X160" s="50">
        <v>800</v>
      </c>
      <c r="Y160" s="50">
        <v>224000</v>
      </c>
      <c r="Z160" s="50">
        <v>-12400</v>
      </c>
      <c r="AA160" s="50">
        <v>800</v>
      </c>
      <c r="AB160" s="50">
        <v>0</v>
      </c>
      <c r="AC160" s="50">
        <v>0</v>
      </c>
      <c r="AD160" s="50">
        <v>0</v>
      </c>
      <c r="AE160" s="50">
        <v>0</v>
      </c>
      <c r="AF160" s="50">
        <v>0</v>
      </c>
      <c r="AG160" s="50">
        <v>0</v>
      </c>
      <c r="AH160" s="50">
        <v>0</v>
      </c>
      <c r="AI160" s="50">
        <v>0</v>
      </c>
      <c r="AJ160" s="50">
        <v>0</v>
      </c>
      <c r="AK160" s="50">
        <v>96000</v>
      </c>
      <c r="AL160" s="50">
        <v>5.303896706611639E-2</v>
      </c>
      <c r="AM160" s="50">
        <v>96000</v>
      </c>
      <c r="AN160" s="50">
        <v>5.303896706611639E-2</v>
      </c>
      <c r="AO160" s="50">
        <v>8000</v>
      </c>
      <c r="AP160" s="50">
        <v>0</v>
      </c>
      <c r="AQ160" s="50">
        <v>0</v>
      </c>
      <c r="AR160" s="50">
        <v>0</v>
      </c>
      <c r="AT160" s="50">
        <v>1329990</v>
      </c>
      <c r="AU160" s="50">
        <v>59500</v>
      </c>
      <c r="AV160" s="50">
        <v>2400990</v>
      </c>
      <c r="AW160" s="50">
        <v>1229990</v>
      </c>
      <c r="AX160" s="50">
        <v>59500</v>
      </c>
      <c r="AY160" s="50">
        <v>2300990</v>
      </c>
      <c r="AZ160" s="50">
        <v>1229990</v>
      </c>
      <c r="BA160" s="50">
        <v>59500</v>
      </c>
      <c r="BB160" s="50">
        <v>2300990</v>
      </c>
      <c r="BC160" s="50">
        <v>1744800</v>
      </c>
      <c r="BD160" s="50">
        <v>-3.6016773573334659E-2</v>
      </c>
      <c r="BE160" s="50">
        <v>72700</v>
      </c>
      <c r="BF160" s="50">
        <v>1744800</v>
      </c>
      <c r="BG160" s="50">
        <v>-3.6016773573334659E-2</v>
      </c>
      <c r="BH160" s="50">
        <v>72700</v>
      </c>
      <c r="BI160" s="50">
        <v>1744800</v>
      </c>
      <c r="BJ160" s="50">
        <v>-3.6016773573334659E-2</v>
      </c>
      <c r="BK160" s="50">
        <v>145400</v>
      </c>
      <c r="BL160" s="50">
        <v>1768800</v>
      </c>
      <c r="BM160" s="50">
        <v>-2.2757031806805564E-2</v>
      </c>
      <c r="BN160" s="50">
        <v>1768800</v>
      </c>
      <c r="BO160" s="50">
        <v>-2.2757031806805564E-2</v>
      </c>
      <c r="BP160" s="50">
        <v>147400</v>
      </c>
      <c r="BQ160" s="50">
        <v>1809990</v>
      </c>
      <c r="BR160" s="50" t="s">
        <v>747</v>
      </c>
      <c r="BS160" s="50" t="s">
        <v>748</v>
      </c>
    </row>
    <row r="161" spans="1:71" ht="15.75" customHeight="1" x14ac:dyDescent="0.2">
      <c r="A161" s="25" t="s">
        <v>722</v>
      </c>
      <c r="B161" s="26" t="s">
        <v>723</v>
      </c>
      <c r="C161" s="27" t="s">
        <v>401</v>
      </c>
      <c r="D161" s="50">
        <v>1744800</v>
      </c>
      <c r="E161" s="30">
        <f>+(D161-$P161)/$P161</f>
        <v>-3.6016773573334659E-2</v>
      </c>
      <c r="F161" s="50">
        <f t="shared" si="15"/>
        <v>72700</v>
      </c>
      <c r="G161" s="50">
        <v>1744800</v>
      </c>
      <c r="H161" s="30">
        <f>+(G161-$P161)/$P161</f>
        <v>-3.6016773573334659E-2</v>
      </c>
      <c r="I161" s="50">
        <f t="shared" si="16"/>
        <v>72700</v>
      </c>
      <c r="J161" s="50">
        <v>1744800</v>
      </c>
      <c r="K161" s="30">
        <f>+(J161-$P161)/$P161</f>
        <v>-3.6016773573334659E-2</v>
      </c>
      <c r="L161" s="50">
        <f t="shared" si="17"/>
        <v>145400</v>
      </c>
      <c r="M161" s="50">
        <v>1864800</v>
      </c>
      <c r="N161" s="30">
        <f t="shared" si="18"/>
        <v>3.0281935259310826E-2</v>
      </c>
      <c r="O161" s="50">
        <f t="shared" si="19"/>
        <v>155400</v>
      </c>
      <c r="P161" s="50">
        <v>1809990</v>
      </c>
      <c r="Q161" t="s">
        <v>809</v>
      </c>
      <c r="R161" t="e">
        <f>VLOOKUP(B161,#REF!,1,0)</f>
        <v>#REF!</v>
      </c>
      <c r="S161" s="50">
        <v>324000</v>
      </c>
      <c r="T161" s="50">
        <v>-12400</v>
      </c>
      <c r="U161" s="50">
        <v>100800</v>
      </c>
      <c r="V161" s="50">
        <v>224000</v>
      </c>
      <c r="W161" s="50">
        <v>-12400</v>
      </c>
      <c r="X161" s="50">
        <v>800</v>
      </c>
      <c r="Y161" s="50">
        <v>224000</v>
      </c>
      <c r="Z161" s="50">
        <v>-12400</v>
      </c>
      <c r="AA161" s="50">
        <v>800</v>
      </c>
      <c r="AB161" s="50">
        <v>0</v>
      </c>
      <c r="AC161" s="50">
        <v>0</v>
      </c>
      <c r="AD161" s="50">
        <v>0</v>
      </c>
      <c r="AE161" s="50">
        <v>0</v>
      </c>
      <c r="AF161" s="50">
        <v>0</v>
      </c>
      <c r="AG161" s="50">
        <v>0</v>
      </c>
      <c r="AH161" s="50">
        <v>0</v>
      </c>
      <c r="AI161" s="50">
        <v>0</v>
      </c>
      <c r="AJ161" s="50">
        <v>0</v>
      </c>
      <c r="AK161" s="50">
        <v>96000</v>
      </c>
      <c r="AL161" s="50">
        <v>5.303896706611639E-2</v>
      </c>
      <c r="AM161" s="50">
        <v>96000</v>
      </c>
      <c r="AN161" s="50">
        <v>5.303896706611639E-2</v>
      </c>
      <c r="AO161" s="50">
        <v>8000</v>
      </c>
      <c r="AP161" s="50">
        <v>0</v>
      </c>
      <c r="AQ161" s="50">
        <v>0</v>
      </c>
      <c r="AR161" s="50">
        <v>0</v>
      </c>
      <c r="AT161" s="50">
        <v>1329990</v>
      </c>
      <c r="AU161" s="50">
        <v>59500</v>
      </c>
      <c r="AV161" s="50">
        <v>2400990</v>
      </c>
      <c r="AW161" s="50">
        <v>1229990</v>
      </c>
      <c r="AX161" s="50">
        <v>59500</v>
      </c>
      <c r="AY161" s="50">
        <v>2300990</v>
      </c>
      <c r="AZ161" s="50">
        <v>1229990</v>
      </c>
      <c r="BA161" s="50">
        <v>59500</v>
      </c>
      <c r="BB161" s="50">
        <v>2300990</v>
      </c>
      <c r="BC161" s="50">
        <v>1744800</v>
      </c>
      <c r="BD161" s="50">
        <v>-3.6016773573334659E-2</v>
      </c>
      <c r="BE161" s="50">
        <v>72700</v>
      </c>
      <c r="BF161" s="50">
        <v>1744800</v>
      </c>
      <c r="BG161" s="50">
        <v>-3.6016773573334659E-2</v>
      </c>
      <c r="BH161" s="50">
        <v>72700</v>
      </c>
      <c r="BI161" s="50">
        <v>1744800</v>
      </c>
      <c r="BJ161" s="50">
        <v>-3.6016773573334659E-2</v>
      </c>
      <c r="BK161" s="50">
        <v>145400</v>
      </c>
      <c r="BL161" s="50">
        <v>1768800</v>
      </c>
      <c r="BM161" s="50">
        <v>-2.2757031806805564E-2</v>
      </c>
      <c r="BN161" s="50">
        <v>1768800</v>
      </c>
      <c r="BO161" s="50">
        <v>-2.2757031806805564E-2</v>
      </c>
      <c r="BP161" s="50">
        <v>147400</v>
      </c>
      <c r="BQ161" s="50">
        <v>1809990</v>
      </c>
      <c r="BR161" s="50" t="s">
        <v>747</v>
      </c>
      <c r="BS161" s="50" t="s">
        <v>748</v>
      </c>
    </row>
    <row r="162" spans="1:71" ht="15.75" customHeight="1" x14ac:dyDescent="0.2">
      <c r="A162" s="25" t="s">
        <v>724</v>
      </c>
      <c r="B162" s="26" t="s">
        <v>725</v>
      </c>
      <c r="C162" s="27" t="s">
        <v>401</v>
      </c>
      <c r="D162" s="50">
        <v>1744800</v>
      </c>
      <c r="E162" s="30">
        <f>+(D162-$P162)/$P162</f>
        <v>-3.6016773573334659E-2</v>
      </c>
      <c r="F162" s="50">
        <f t="shared" si="15"/>
        <v>72700</v>
      </c>
      <c r="G162" s="50">
        <v>1744800</v>
      </c>
      <c r="H162" s="30">
        <f>+(G162-$P162)/$P162</f>
        <v>-3.6016773573334659E-2</v>
      </c>
      <c r="I162" s="50">
        <f t="shared" si="16"/>
        <v>72700</v>
      </c>
      <c r="J162" s="50">
        <v>1744800</v>
      </c>
      <c r="K162" s="30">
        <f>+(J162-$P162)/$P162</f>
        <v>-3.6016773573334659E-2</v>
      </c>
      <c r="L162" s="50">
        <f t="shared" si="17"/>
        <v>145400</v>
      </c>
      <c r="M162" s="50">
        <v>1864800</v>
      </c>
      <c r="N162" s="30">
        <f t="shared" si="18"/>
        <v>3.0281935259310826E-2</v>
      </c>
      <c r="O162" s="50">
        <f t="shared" si="19"/>
        <v>155400</v>
      </c>
      <c r="P162" s="50">
        <v>1809990</v>
      </c>
      <c r="Q162" t="s">
        <v>809</v>
      </c>
      <c r="R162" t="e">
        <f>VLOOKUP(B162,#REF!,1,0)</f>
        <v>#REF!</v>
      </c>
      <c r="S162" s="50">
        <v>324000</v>
      </c>
      <c r="T162" s="50">
        <v>-12400</v>
      </c>
      <c r="U162" s="50">
        <v>100800</v>
      </c>
      <c r="V162" s="50">
        <v>224000</v>
      </c>
      <c r="W162" s="50">
        <v>-12400</v>
      </c>
      <c r="X162" s="50">
        <v>800</v>
      </c>
      <c r="Y162" s="50">
        <v>224000</v>
      </c>
      <c r="Z162" s="50">
        <v>-12400</v>
      </c>
      <c r="AA162" s="50">
        <v>800</v>
      </c>
      <c r="AB162" s="50">
        <v>0</v>
      </c>
      <c r="AC162" s="50">
        <v>0</v>
      </c>
      <c r="AD162" s="50">
        <v>0</v>
      </c>
      <c r="AE162" s="50">
        <v>0</v>
      </c>
      <c r="AF162" s="50">
        <v>0</v>
      </c>
      <c r="AG162" s="50">
        <v>0</v>
      </c>
      <c r="AH162" s="50">
        <v>0</v>
      </c>
      <c r="AI162" s="50">
        <v>0</v>
      </c>
      <c r="AJ162" s="50">
        <v>0</v>
      </c>
      <c r="AK162" s="50">
        <v>96000</v>
      </c>
      <c r="AL162" s="50">
        <v>5.303896706611639E-2</v>
      </c>
      <c r="AM162" s="50">
        <v>96000</v>
      </c>
      <c r="AN162" s="50">
        <v>5.303896706611639E-2</v>
      </c>
      <c r="AO162" s="50">
        <v>8000</v>
      </c>
      <c r="AP162" s="50">
        <v>0</v>
      </c>
      <c r="AQ162" s="50">
        <v>0</v>
      </c>
      <c r="AR162" s="50">
        <v>0</v>
      </c>
      <c r="AT162" s="50">
        <v>1329990</v>
      </c>
      <c r="AU162" s="50">
        <v>59500</v>
      </c>
      <c r="AV162" s="50">
        <v>2400990</v>
      </c>
      <c r="AW162" s="50">
        <v>1229990</v>
      </c>
      <c r="AX162" s="50">
        <v>59500</v>
      </c>
      <c r="AY162" s="50">
        <v>2300990</v>
      </c>
      <c r="AZ162" s="50">
        <v>1229990</v>
      </c>
      <c r="BA162" s="50">
        <v>59500</v>
      </c>
      <c r="BB162" s="50">
        <v>2300990</v>
      </c>
      <c r="BC162" s="50">
        <v>1744800</v>
      </c>
      <c r="BD162" s="50">
        <v>-3.6016773573334659E-2</v>
      </c>
      <c r="BE162" s="50">
        <v>72700</v>
      </c>
      <c r="BF162" s="50">
        <v>1744800</v>
      </c>
      <c r="BG162" s="50">
        <v>-3.6016773573334659E-2</v>
      </c>
      <c r="BH162" s="50">
        <v>72700</v>
      </c>
      <c r="BI162" s="50">
        <v>1744800</v>
      </c>
      <c r="BJ162" s="50">
        <v>-3.6016773573334659E-2</v>
      </c>
      <c r="BK162" s="50">
        <v>145400</v>
      </c>
      <c r="BL162" s="50">
        <v>1768800</v>
      </c>
      <c r="BM162" s="50">
        <v>-2.2757031806805564E-2</v>
      </c>
      <c r="BN162" s="50">
        <v>1768800</v>
      </c>
      <c r="BO162" s="50">
        <v>-2.2757031806805564E-2</v>
      </c>
      <c r="BP162" s="50">
        <v>147400</v>
      </c>
      <c r="BQ162" s="50">
        <v>1809990</v>
      </c>
      <c r="BR162" s="50" t="s">
        <v>747</v>
      </c>
      <c r="BS162" s="50" t="s">
        <v>748</v>
      </c>
    </row>
    <row r="163" spans="1:71" ht="15.75" customHeight="1" x14ac:dyDescent="0.2">
      <c r="A163" s="25" t="s">
        <v>726</v>
      </c>
      <c r="B163" s="26" t="s">
        <v>727</v>
      </c>
      <c r="C163" s="27" t="s">
        <v>401</v>
      </c>
      <c r="D163" s="50">
        <v>1994400</v>
      </c>
      <c r="E163" s="30">
        <f>+(D163-$P163)/$P163</f>
        <v>-3.6517084623597214E-2</v>
      </c>
      <c r="F163" s="50">
        <f t="shared" si="15"/>
        <v>83100</v>
      </c>
      <c r="G163" s="50">
        <v>1994400</v>
      </c>
      <c r="H163" s="30">
        <f>+(G163-$P163)/$P163</f>
        <v>-3.6517084623597214E-2</v>
      </c>
      <c r="I163" s="50">
        <f t="shared" si="16"/>
        <v>83100</v>
      </c>
      <c r="J163" s="50">
        <v>1994400</v>
      </c>
      <c r="K163" s="30">
        <f>+(J163-$P163)/$P163</f>
        <v>-3.6517084623597214E-2</v>
      </c>
      <c r="L163" s="50">
        <f t="shared" si="17"/>
        <v>166200</v>
      </c>
      <c r="M163" s="50">
        <v>2018400</v>
      </c>
      <c r="N163" s="30">
        <f t="shared" si="18"/>
        <v>-2.4922825714133883E-2</v>
      </c>
      <c r="O163" s="50">
        <f t="shared" si="19"/>
        <v>168200</v>
      </c>
      <c r="P163" s="50">
        <v>2069990</v>
      </c>
      <c r="Q163" t="s">
        <v>810</v>
      </c>
      <c r="R163" t="e">
        <f>VLOOKUP(B163,#REF!,1,0)</f>
        <v>#REF!</v>
      </c>
      <c r="S163" s="50">
        <v>360000</v>
      </c>
      <c r="T163" s="50">
        <v>-14400</v>
      </c>
      <c r="U163" s="50">
        <v>100800</v>
      </c>
      <c r="V163" s="50">
        <v>260000</v>
      </c>
      <c r="W163" s="50">
        <v>-14400</v>
      </c>
      <c r="X163" s="50">
        <v>800</v>
      </c>
      <c r="Y163" s="50">
        <v>260000</v>
      </c>
      <c r="Z163" s="50">
        <v>-14400</v>
      </c>
      <c r="AA163" s="50">
        <v>800</v>
      </c>
      <c r="AB163" s="50">
        <v>0</v>
      </c>
      <c r="AC163" s="50">
        <v>0</v>
      </c>
      <c r="AD163" s="50">
        <v>0</v>
      </c>
      <c r="AE163" s="50">
        <v>0</v>
      </c>
      <c r="AF163" s="50">
        <v>0</v>
      </c>
      <c r="AG163" s="50">
        <v>0</v>
      </c>
      <c r="AH163" s="50">
        <v>0</v>
      </c>
      <c r="AI163" s="50">
        <v>0</v>
      </c>
      <c r="AJ163" s="50">
        <v>0</v>
      </c>
      <c r="AK163" s="50">
        <v>0</v>
      </c>
      <c r="AL163" s="50">
        <v>0</v>
      </c>
      <c r="AM163" s="50">
        <v>0</v>
      </c>
      <c r="AN163" s="50">
        <v>0</v>
      </c>
      <c r="AO163" s="50">
        <v>0</v>
      </c>
      <c r="AP163" s="50">
        <v>0</v>
      </c>
      <c r="AQ163" s="50">
        <v>0</v>
      </c>
      <c r="AR163" s="50">
        <v>0</v>
      </c>
      <c r="AT163" s="50">
        <v>1509990</v>
      </c>
      <c r="AU163" s="50">
        <v>67800</v>
      </c>
      <c r="AV163" s="50">
        <v>2730390</v>
      </c>
      <c r="AW163" s="50">
        <v>1409990</v>
      </c>
      <c r="AX163" s="50">
        <v>67800</v>
      </c>
      <c r="AY163" s="50">
        <v>2630390</v>
      </c>
      <c r="AZ163" s="50">
        <v>1409990</v>
      </c>
      <c r="BA163" s="50">
        <v>67800</v>
      </c>
      <c r="BB163" s="50">
        <v>2630390</v>
      </c>
      <c r="BC163" s="50">
        <v>1994400</v>
      </c>
      <c r="BD163" s="50">
        <v>-3.6517084623597214E-2</v>
      </c>
      <c r="BE163" s="50">
        <v>83100</v>
      </c>
      <c r="BF163" s="50">
        <v>1994400</v>
      </c>
      <c r="BG163" s="50">
        <v>-3.6517084623597214E-2</v>
      </c>
      <c r="BH163" s="50">
        <v>83100</v>
      </c>
      <c r="BI163" s="50">
        <v>1994400</v>
      </c>
      <c r="BJ163" s="50">
        <v>-3.6517084623597214E-2</v>
      </c>
      <c r="BK163" s="50">
        <v>166200</v>
      </c>
      <c r="BL163" s="50">
        <v>2018400</v>
      </c>
      <c r="BM163" s="50">
        <v>-2.4922825714133883E-2</v>
      </c>
      <c r="BN163" s="50">
        <v>2018400</v>
      </c>
      <c r="BO163" s="50">
        <v>-2.4922825714133883E-2</v>
      </c>
      <c r="BP163" s="50">
        <v>168200</v>
      </c>
      <c r="BQ163" s="50">
        <v>2069990</v>
      </c>
      <c r="BR163" s="50" t="s">
        <v>747</v>
      </c>
      <c r="BS163" s="50" t="s">
        <v>748</v>
      </c>
    </row>
    <row r="164" spans="1:71" ht="15.75" customHeight="1" x14ac:dyDescent="0.2">
      <c r="A164" s="25" t="s">
        <v>728</v>
      </c>
      <c r="B164" s="26" t="s">
        <v>729</v>
      </c>
      <c r="C164" s="27" t="s">
        <v>401</v>
      </c>
      <c r="D164" s="50">
        <v>1994400</v>
      </c>
      <c r="E164" s="30">
        <f>+(D164-$P164)/$P164</f>
        <v>-3.6517084623597214E-2</v>
      </c>
      <c r="F164" s="50">
        <f t="shared" si="15"/>
        <v>83100</v>
      </c>
      <c r="G164" s="50">
        <v>1994400</v>
      </c>
      <c r="H164" s="30">
        <f>+(G164-$P164)/$P164</f>
        <v>-3.6517084623597214E-2</v>
      </c>
      <c r="I164" s="50">
        <f t="shared" si="16"/>
        <v>83100</v>
      </c>
      <c r="J164" s="50">
        <v>1994400</v>
      </c>
      <c r="K164" s="30">
        <f>+(J164-$P164)/$P164</f>
        <v>-3.6517084623597214E-2</v>
      </c>
      <c r="L164" s="50">
        <f t="shared" si="17"/>
        <v>166200</v>
      </c>
      <c r="M164" s="50">
        <v>2018400</v>
      </c>
      <c r="N164" s="30">
        <f t="shared" si="18"/>
        <v>-2.4922825714133883E-2</v>
      </c>
      <c r="O164" s="50">
        <f t="shared" si="19"/>
        <v>168200</v>
      </c>
      <c r="P164" s="50">
        <v>2069990</v>
      </c>
      <c r="Q164" t="s">
        <v>810</v>
      </c>
      <c r="R164" t="e">
        <f>VLOOKUP(B164,#REF!,1,0)</f>
        <v>#REF!</v>
      </c>
      <c r="S164" s="50">
        <v>0</v>
      </c>
      <c r="T164" s="50">
        <v>0</v>
      </c>
      <c r="U164" s="50">
        <v>0</v>
      </c>
      <c r="V164" s="50">
        <v>0</v>
      </c>
      <c r="W164" s="50">
        <v>0</v>
      </c>
      <c r="X164" s="50">
        <v>0</v>
      </c>
      <c r="Y164" s="50">
        <v>0</v>
      </c>
      <c r="Z164" s="50">
        <v>0</v>
      </c>
      <c r="AA164" s="50">
        <v>0</v>
      </c>
      <c r="AB164" s="50">
        <v>0</v>
      </c>
      <c r="AC164" s="50">
        <v>0</v>
      </c>
      <c r="AD164" s="50">
        <v>0</v>
      </c>
      <c r="AE164" s="50">
        <v>0</v>
      </c>
      <c r="AF164" s="50">
        <v>0</v>
      </c>
      <c r="AG164" s="50">
        <v>0</v>
      </c>
      <c r="AH164" s="50">
        <v>0</v>
      </c>
      <c r="AI164" s="50">
        <v>0</v>
      </c>
      <c r="AJ164" s="50">
        <v>0</v>
      </c>
      <c r="AK164" s="50">
        <v>0</v>
      </c>
      <c r="AL164" s="50">
        <v>0</v>
      </c>
      <c r="AM164" s="50">
        <v>0</v>
      </c>
      <c r="AN164" s="50">
        <v>0</v>
      </c>
      <c r="AO164" s="50">
        <v>0</v>
      </c>
      <c r="AP164" s="50">
        <v>0</v>
      </c>
      <c r="AQ164" s="50">
        <v>0</v>
      </c>
      <c r="AR164" s="50">
        <v>0</v>
      </c>
      <c r="AT164" s="50">
        <v>1509990</v>
      </c>
      <c r="AU164" s="50">
        <v>67800</v>
      </c>
      <c r="AV164" s="50">
        <v>2730390</v>
      </c>
      <c r="AW164" s="50">
        <v>1409990</v>
      </c>
      <c r="AX164" s="50">
        <v>67800</v>
      </c>
      <c r="AY164" s="50">
        <v>2630390</v>
      </c>
      <c r="AZ164" s="50">
        <v>1409990</v>
      </c>
      <c r="BA164" s="50">
        <v>67800</v>
      </c>
      <c r="BB164" s="50">
        <v>2630390</v>
      </c>
      <c r="BC164" s="50">
        <v>1994400</v>
      </c>
      <c r="BD164" s="50">
        <v>-3.6517084623597214E-2</v>
      </c>
      <c r="BE164" s="50">
        <v>83100</v>
      </c>
      <c r="BF164" s="50">
        <v>1994400</v>
      </c>
      <c r="BG164" s="50">
        <v>-3.6517084623597214E-2</v>
      </c>
      <c r="BH164" s="50">
        <v>83100</v>
      </c>
      <c r="BI164" s="50">
        <v>1994400</v>
      </c>
      <c r="BJ164" s="50">
        <v>-3.6517084623597214E-2</v>
      </c>
      <c r="BK164" s="50">
        <v>166200</v>
      </c>
      <c r="BL164" s="50">
        <v>2018400</v>
      </c>
      <c r="BM164" s="50">
        <v>-2.4922825714133883E-2</v>
      </c>
      <c r="BN164" s="50">
        <v>2018400</v>
      </c>
      <c r="BO164" s="50">
        <v>-2.4922825714133883E-2</v>
      </c>
      <c r="BP164" s="50">
        <v>168200</v>
      </c>
      <c r="BQ164" s="50">
        <v>2069990</v>
      </c>
      <c r="BR164" s="50" t="s">
        <v>747</v>
      </c>
      <c r="BS164" s="50" t="s">
        <v>748</v>
      </c>
    </row>
    <row r="165" spans="1:71" ht="15.75" customHeight="1" x14ac:dyDescent="0.2">
      <c r="A165" s="25" t="s">
        <v>730</v>
      </c>
      <c r="B165" s="26" t="s">
        <v>731</v>
      </c>
      <c r="C165" s="27" t="s">
        <v>401</v>
      </c>
      <c r="D165" s="50">
        <v>1994400</v>
      </c>
      <c r="E165" s="30">
        <f>+(D165-$P165)/$P165</f>
        <v>-3.6517084623597214E-2</v>
      </c>
      <c r="F165" s="50">
        <f t="shared" si="15"/>
        <v>83100</v>
      </c>
      <c r="G165" s="50">
        <v>1994400</v>
      </c>
      <c r="H165" s="30">
        <f>+(G165-$P165)/$P165</f>
        <v>-3.6517084623597214E-2</v>
      </c>
      <c r="I165" s="50">
        <f t="shared" si="16"/>
        <v>83100</v>
      </c>
      <c r="J165" s="50">
        <v>1994400</v>
      </c>
      <c r="K165" s="30">
        <f>+(J165-$P165)/$P165</f>
        <v>-3.6517084623597214E-2</v>
      </c>
      <c r="L165" s="50">
        <f t="shared" si="17"/>
        <v>166200</v>
      </c>
      <c r="M165" s="50">
        <v>2018400</v>
      </c>
      <c r="N165" s="30">
        <f t="shared" si="18"/>
        <v>-2.4922825714133883E-2</v>
      </c>
      <c r="O165" s="50">
        <f t="shared" si="19"/>
        <v>168200</v>
      </c>
      <c r="P165" s="50">
        <v>2069990</v>
      </c>
      <c r="Q165" t="s">
        <v>810</v>
      </c>
      <c r="R165" t="e">
        <f>VLOOKUP(B165,#REF!,1,0)</f>
        <v>#REF!</v>
      </c>
      <c r="S165" s="50">
        <v>0</v>
      </c>
      <c r="T165" s="50">
        <v>0</v>
      </c>
      <c r="U165" s="50">
        <v>0</v>
      </c>
      <c r="V165" s="50">
        <v>0</v>
      </c>
      <c r="W165" s="50">
        <v>0</v>
      </c>
      <c r="X165" s="50">
        <v>0</v>
      </c>
      <c r="Y165" s="50">
        <v>0</v>
      </c>
      <c r="Z165" s="50">
        <v>0</v>
      </c>
      <c r="AA165" s="50">
        <v>0</v>
      </c>
      <c r="AB165" s="50">
        <v>0</v>
      </c>
      <c r="AC165" s="50">
        <v>0</v>
      </c>
      <c r="AD165" s="50">
        <v>0</v>
      </c>
      <c r="AE165" s="50">
        <v>0</v>
      </c>
      <c r="AF165" s="50">
        <v>0</v>
      </c>
      <c r="AG165" s="50">
        <v>0</v>
      </c>
      <c r="AH165" s="50">
        <v>0</v>
      </c>
      <c r="AI165" s="50">
        <v>0</v>
      </c>
      <c r="AJ165" s="50">
        <v>0</v>
      </c>
      <c r="AK165" s="50">
        <v>0</v>
      </c>
      <c r="AL165" s="50">
        <v>0</v>
      </c>
      <c r="AM165" s="50">
        <v>0</v>
      </c>
      <c r="AN165" s="50">
        <v>0</v>
      </c>
      <c r="AO165" s="50">
        <v>0</v>
      </c>
      <c r="AP165" s="50">
        <v>0</v>
      </c>
      <c r="AQ165" s="50">
        <v>0</v>
      </c>
      <c r="AR165" s="50">
        <v>0</v>
      </c>
      <c r="AT165" s="50">
        <v>1509990</v>
      </c>
      <c r="AU165" s="50">
        <v>67800</v>
      </c>
      <c r="AV165" s="50">
        <v>2730390</v>
      </c>
      <c r="AW165" s="50">
        <v>1409990</v>
      </c>
      <c r="AX165" s="50">
        <v>67800</v>
      </c>
      <c r="AY165" s="50">
        <v>2630390</v>
      </c>
      <c r="AZ165" s="50">
        <v>1409990</v>
      </c>
      <c r="BA165" s="50">
        <v>67800</v>
      </c>
      <c r="BB165" s="50">
        <v>2630390</v>
      </c>
      <c r="BC165" s="50">
        <v>1994400</v>
      </c>
      <c r="BD165" s="50">
        <v>-3.6517084623597214E-2</v>
      </c>
      <c r="BE165" s="50">
        <v>83100</v>
      </c>
      <c r="BF165" s="50">
        <v>1994400</v>
      </c>
      <c r="BG165" s="50">
        <v>-3.6517084623597214E-2</v>
      </c>
      <c r="BH165" s="50">
        <v>83100</v>
      </c>
      <c r="BI165" s="50">
        <v>1994400</v>
      </c>
      <c r="BJ165" s="50">
        <v>-3.6517084623597214E-2</v>
      </c>
      <c r="BK165" s="50">
        <v>166200</v>
      </c>
      <c r="BL165" s="50">
        <v>2018400</v>
      </c>
      <c r="BM165" s="50">
        <v>-2.4922825714133883E-2</v>
      </c>
      <c r="BN165" s="50">
        <v>2018400</v>
      </c>
      <c r="BO165" s="50">
        <v>-2.4922825714133883E-2</v>
      </c>
      <c r="BP165" s="50">
        <v>168200</v>
      </c>
      <c r="BQ165" s="50">
        <v>2069990</v>
      </c>
      <c r="BR165" s="50" t="s">
        <v>747</v>
      </c>
      <c r="BS165" s="50" t="s">
        <v>748</v>
      </c>
    </row>
    <row r="166" spans="1:71" ht="15.75" customHeight="1" x14ac:dyDescent="0.2">
      <c r="A166" s="25" t="s">
        <v>732</v>
      </c>
      <c r="B166" s="26" t="s">
        <v>733</v>
      </c>
      <c r="C166" s="27" t="s">
        <v>401</v>
      </c>
      <c r="D166" s="50">
        <v>760800</v>
      </c>
      <c r="E166" s="30">
        <f>+(D166-$P166)/$P166</f>
        <v>-0.45656754691104934</v>
      </c>
      <c r="F166" s="50">
        <f t="shared" si="15"/>
        <v>31700</v>
      </c>
      <c r="G166" s="50">
        <v>760800</v>
      </c>
      <c r="H166" s="30">
        <f>+(G166-$P166)/$P166</f>
        <v>-0.45656754691104934</v>
      </c>
      <c r="I166" s="50">
        <f t="shared" si="16"/>
        <v>31700</v>
      </c>
      <c r="J166" s="50">
        <v>760800</v>
      </c>
      <c r="K166" s="30">
        <f>+(J166-$P166)/$P166</f>
        <v>-0.45656754691104934</v>
      </c>
      <c r="L166" s="50">
        <f t="shared" si="17"/>
        <v>63400</v>
      </c>
      <c r="M166" s="50">
        <v>880800</v>
      </c>
      <c r="N166" s="30">
        <f t="shared" si="18"/>
        <v>-0.37085264894749248</v>
      </c>
      <c r="O166" s="50">
        <f t="shared" si="19"/>
        <v>73400</v>
      </c>
      <c r="P166" s="50">
        <v>1399990</v>
      </c>
      <c r="Q166" t="s">
        <v>811</v>
      </c>
      <c r="R166" t="e">
        <f>VLOOKUP(B166,#REF!,1,0)</f>
        <v>#REF!</v>
      </c>
      <c r="S166" s="50">
        <v>70000</v>
      </c>
      <c r="T166" s="50">
        <v>4300</v>
      </c>
      <c r="U166" s="50">
        <v>147400</v>
      </c>
      <c r="V166" s="50">
        <v>70000</v>
      </c>
      <c r="W166" s="50">
        <v>4300</v>
      </c>
      <c r="X166" s="50">
        <v>147400</v>
      </c>
      <c r="Y166" s="50">
        <v>70000</v>
      </c>
      <c r="Z166" s="50">
        <v>4300</v>
      </c>
      <c r="AA166" s="50">
        <v>147400</v>
      </c>
      <c r="AB166" s="50">
        <v>-187200</v>
      </c>
      <c r="AC166" s="50">
        <v>-0.13371524082314873</v>
      </c>
      <c r="AD166" s="50">
        <v>-7800</v>
      </c>
      <c r="AE166" s="50">
        <v>-187200</v>
      </c>
      <c r="AF166" s="50">
        <v>-0.13371524082314873</v>
      </c>
      <c r="AG166" s="50">
        <v>-7800</v>
      </c>
      <c r="AH166" s="50">
        <v>-187200</v>
      </c>
      <c r="AI166" s="50">
        <v>-0.13371524082314873</v>
      </c>
      <c r="AJ166" s="50">
        <v>-15600</v>
      </c>
      <c r="AK166" s="50">
        <v>-187200</v>
      </c>
      <c r="AL166" s="50">
        <v>-0.13371524082314873</v>
      </c>
      <c r="AM166" s="50">
        <v>-187200</v>
      </c>
      <c r="AN166" s="50">
        <v>-0.13371524082314873</v>
      </c>
      <c r="AO166" s="50">
        <v>-15600</v>
      </c>
      <c r="AP166" s="50">
        <v>0</v>
      </c>
      <c r="AQ166" s="50">
        <v>0</v>
      </c>
      <c r="AR166" s="50">
        <v>0</v>
      </c>
      <c r="AT166" s="50">
        <v>659990</v>
      </c>
      <c r="AU166" s="50">
        <v>42600</v>
      </c>
      <c r="AV166" s="50">
        <v>1426790</v>
      </c>
      <c r="AW166" s="50">
        <v>659990</v>
      </c>
      <c r="AX166" s="50">
        <v>42600</v>
      </c>
      <c r="AY166" s="50">
        <v>1426790</v>
      </c>
      <c r="AZ166" s="50">
        <v>659990</v>
      </c>
      <c r="BA166" s="50">
        <v>42600</v>
      </c>
      <c r="BB166" s="50">
        <v>1426790</v>
      </c>
      <c r="BC166" s="50">
        <v>948000</v>
      </c>
      <c r="BD166" s="50">
        <v>-0.32285230608790061</v>
      </c>
      <c r="BE166" s="50">
        <v>39500</v>
      </c>
      <c r="BF166" s="50">
        <v>948000</v>
      </c>
      <c r="BG166" s="50">
        <v>-0.32285230608790061</v>
      </c>
      <c r="BH166" s="50">
        <v>39500</v>
      </c>
      <c r="BI166" s="50">
        <v>948000</v>
      </c>
      <c r="BJ166" s="50">
        <v>-0.32285230608790061</v>
      </c>
      <c r="BK166" s="50">
        <v>79000</v>
      </c>
      <c r="BL166" s="50">
        <v>1068000</v>
      </c>
      <c r="BM166" s="50">
        <v>-0.23713740812434375</v>
      </c>
      <c r="BN166" s="50">
        <v>1068000</v>
      </c>
      <c r="BO166" s="50">
        <v>-0.23713740812434375</v>
      </c>
      <c r="BP166" s="50">
        <v>89000</v>
      </c>
      <c r="BQ166" s="50">
        <v>1399990</v>
      </c>
      <c r="BR166" s="50" t="s">
        <v>747</v>
      </c>
      <c r="BS166" s="50" t="s">
        <v>748</v>
      </c>
    </row>
    <row r="167" spans="1:71" ht="15.75" customHeight="1" x14ac:dyDescent="0.2">
      <c r="A167" s="25" t="s">
        <v>823</v>
      </c>
      <c r="B167" s="26" t="s">
        <v>826</v>
      </c>
      <c r="C167" s="27" t="s">
        <v>401</v>
      </c>
      <c r="D167" s="50">
        <v>686400</v>
      </c>
      <c r="E167" s="30">
        <f>+(D167-$P167)/$P167</f>
        <v>-1.9414563065186647E-2</v>
      </c>
      <c r="F167" s="50">
        <f t="shared" si="15"/>
        <v>28600</v>
      </c>
      <c r="G167" s="50">
        <v>686400</v>
      </c>
      <c r="H167" s="30">
        <f>+(G167-$P167)/$P167</f>
        <v>-1.9414563065186647E-2</v>
      </c>
      <c r="I167" s="50">
        <f t="shared" si="16"/>
        <v>28600</v>
      </c>
      <c r="J167" s="50">
        <v>686400</v>
      </c>
      <c r="K167" s="30">
        <f>+(J167-$P167)/$P167</f>
        <v>-1.9414563065186647E-2</v>
      </c>
      <c r="L167" s="50">
        <f t="shared" si="17"/>
        <v>57200</v>
      </c>
      <c r="M167" s="50">
        <v>806400</v>
      </c>
      <c r="N167" s="30">
        <f t="shared" si="18"/>
        <v>0.15201645737796254</v>
      </c>
      <c r="O167" s="50">
        <f t="shared" si="19"/>
        <v>67200</v>
      </c>
      <c r="P167" s="50">
        <v>699990</v>
      </c>
      <c r="Q167" t="s">
        <v>829</v>
      </c>
      <c r="R167" t="e">
        <f>VLOOKUP(B167,#REF!,1,0)</f>
        <v>#REF!</v>
      </c>
      <c r="S167" s="50">
        <v>0</v>
      </c>
      <c r="T167" s="50">
        <v>0</v>
      </c>
      <c r="U167" s="50">
        <v>0</v>
      </c>
      <c r="V167" s="50">
        <v>0</v>
      </c>
      <c r="W167" s="50">
        <v>0</v>
      </c>
      <c r="X167" s="50">
        <v>0</v>
      </c>
      <c r="Y167" s="50">
        <v>0</v>
      </c>
      <c r="Z167" s="50">
        <v>0</v>
      </c>
      <c r="AA167" s="50">
        <v>0</v>
      </c>
      <c r="AB167" s="50">
        <v>-9600</v>
      </c>
      <c r="AC167" s="50">
        <v>-1.3714481635451936E-2</v>
      </c>
      <c r="AD167" s="50">
        <v>-400</v>
      </c>
      <c r="AE167" s="50">
        <v>-9600</v>
      </c>
      <c r="AF167" s="50">
        <v>-1.3714481635451936E-2</v>
      </c>
      <c r="AG167" s="50">
        <v>-400</v>
      </c>
      <c r="AH167" s="50">
        <v>-9600</v>
      </c>
      <c r="AI167" s="50">
        <v>-1.3714481635451936E-2</v>
      </c>
      <c r="AJ167" s="50">
        <v>-800</v>
      </c>
      <c r="AK167" s="50">
        <v>108000</v>
      </c>
      <c r="AL167" s="50">
        <v>0.15428791839883427</v>
      </c>
      <c r="AM167" s="50">
        <v>108000</v>
      </c>
      <c r="AN167" s="50">
        <v>0.15428791839883427</v>
      </c>
      <c r="AO167" s="50">
        <v>9000</v>
      </c>
      <c r="AP167" s="50">
        <v>0</v>
      </c>
      <c r="AQ167" s="50">
        <v>0</v>
      </c>
      <c r="AR167" s="50">
        <v>0</v>
      </c>
      <c r="AT167" s="50">
        <v>509990</v>
      </c>
      <c r="AU167" s="50">
        <v>30000</v>
      </c>
      <c r="AV167" s="50">
        <v>1049990</v>
      </c>
      <c r="AW167" s="50">
        <v>409990</v>
      </c>
      <c r="AX167" s="50">
        <v>30000</v>
      </c>
      <c r="AY167" s="50">
        <v>949990</v>
      </c>
      <c r="AZ167" s="50">
        <v>409990</v>
      </c>
      <c r="BA167" s="50">
        <v>30000</v>
      </c>
      <c r="BB167" s="50">
        <v>949990</v>
      </c>
      <c r="BC167" s="50">
        <v>696000</v>
      </c>
      <c r="BD167" s="50">
        <v>-5.7000814297347106E-3</v>
      </c>
      <c r="BE167" s="50">
        <v>29000</v>
      </c>
      <c r="BF167" s="50">
        <v>696000</v>
      </c>
      <c r="BG167" s="50">
        <v>-5.7000814297347106E-3</v>
      </c>
      <c r="BH167" s="50">
        <v>29000</v>
      </c>
      <c r="BI167" s="50">
        <v>696000</v>
      </c>
      <c r="BJ167" s="50">
        <v>-5.7000814297347106E-3</v>
      </c>
      <c r="BK167" s="50">
        <v>58000</v>
      </c>
      <c r="BL167" s="50">
        <v>698400</v>
      </c>
      <c r="BM167" s="50">
        <v>-2.2714610208717269E-3</v>
      </c>
      <c r="BN167" s="50">
        <v>698400</v>
      </c>
      <c r="BO167" s="50">
        <v>-2.2714610208717269E-3</v>
      </c>
      <c r="BP167" s="50">
        <v>58200</v>
      </c>
      <c r="BQ167" s="50">
        <v>699990</v>
      </c>
      <c r="BR167" s="50" t="s">
        <v>747</v>
      </c>
      <c r="BS167" s="50" t="s">
        <v>748</v>
      </c>
    </row>
    <row r="168" spans="1:71" ht="15.75" customHeight="1" x14ac:dyDescent="0.2">
      <c r="A168" s="25" t="s">
        <v>824</v>
      </c>
      <c r="B168" s="26" t="s">
        <v>827</v>
      </c>
      <c r="C168" s="27" t="s">
        <v>401</v>
      </c>
      <c r="D168" s="50">
        <v>686400</v>
      </c>
      <c r="E168" s="30">
        <f>+(D168-$P168)/$P168</f>
        <v>-1.9414563065186647E-2</v>
      </c>
      <c r="F168" s="50">
        <f t="shared" si="15"/>
        <v>28600</v>
      </c>
      <c r="G168" s="50">
        <v>686400</v>
      </c>
      <c r="H168" s="30">
        <f>+(G168-$P168)/$P168</f>
        <v>-1.9414563065186647E-2</v>
      </c>
      <c r="I168" s="50">
        <f t="shared" si="16"/>
        <v>28600</v>
      </c>
      <c r="J168" s="50">
        <v>686400</v>
      </c>
      <c r="K168" s="30">
        <f>+(J168-$P168)/$P168</f>
        <v>-1.9414563065186647E-2</v>
      </c>
      <c r="L168" s="50">
        <f t="shared" si="17"/>
        <v>57200</v>
      </c>
      <c r="M168" s="50">
        <v>806400</v>
      </c>
      <c r="N168" s="30">
        <f t="shared" si="18"/>
        <v>0.15201645737796254</v>
      </c>
      <c r="O168" s="50">
        <f t="shared" si="19"/>
        <v>67200</v>
      </c>
      <c r="P168" s="50">
        <v>699990</v>
      </c>
      <c r="Q168" t="s">
        <v>829</v>
      </c>
      <c r="R168" t="e">
        <f>VLOOKUP(B168,#REF!,1,0)</f>
        <v>#REF!</v>
      </c>
      <c r="S168" s="50">
        <v>0</v>
      </c>
      <c r="T168" s="50">
        <v>0</v>
      </c>
      <c r="U168" s="50">
        <v>0</v>
      </c>
      <c r="V168" s="50">
        <v>0</v>
      </c>
      <c r="W168" s="50">
        <v>0</v>
      </c>
      <c r="X168" s="50">
        <v>0</v>
      </c>
      <c r="Y168" s="50">
        <v>0</v>
      </c>
      <c r="Z168" s="50">
        <v>0</v>
      </c>
      <c r="AA168" s="50">
        <v>0</v>
      </c>
      <c r="AB168" s="50">
        <v>-9600</v>
      </c>
      <c r="AC168" s="50">
        <v>-1.3714481635451936E-2</v>
      </c>
      <c r="AD168" s="50">
        <v>-400</v>
      </c>
      <c r="AE168" s="50">
        <v>-9600</v>
      </c>
      <c r="AF168" s="50">
        <v>-1.3714481635451936E-2</v>
      </c>
      <c r="AG168" s="50">
        <v>-400</v>
      </c>
      <c r="AH168" s="50">
        <v>-9600</v>
      </c>
      <c r="AI168" s="50">
        <v>-1.3714481635451936E-2</v>
      </c>
      <c r="AJ168" s="50">
        <v>-800</v>
      </c>
      <c r="AK168" s="50">
        <v>108000</v>
      </c>
      <c r="AL168" s="50">
        <v>0.15428791839883427</v>
      </c>
      <c r="AM168" s="50">
        <v>108000</v>
      </c>
      <c r="AN168" s="50">
        <v>0.15428791839883427</v>
      </c>
      <c r="AO168" s="50">
        <v>9000</v>
      </c>
      <c r="AP168" s="50">
        <v>0</v>
      </c>
      <c r="AQ168" s="50">
        <v>0</v>
      </c>
      <c r="AR168" s="50">
        <v>0</v>
      </c>
      <c r="AT168" s="50">
        <v>509990</v>
      </c>
      <c r="AU168" s="50">
        <v>30000</v>
      </c>
      <c r="AV168" s="50">
        <v>1049990</v>
      </c>
      <c r="AW168" s="50">
        <v>409990</v>
      </c>
      <c r="AX168" s="50">
        <v>30000</v>
      </c>
      <c r="AY168" s="50">
        <v>949990</v>
      </c>
      <c r="AZ168" s="50">
        <v>409990</v>
      </c>
      <c r="BA168" s="50">
        <v>30000</v>
      </c>
      <c r="BB168" s="50">
        <v>949990</v>
      </c>
      <c r="BC168" s="50">
        <v>696000</v>
      </c>
      <c r="BD168" s="50">
        <v>-5.7000814297347106E-3</v>
      </c>
      <c r="BE168" s="50">
        <v>29000</v>
      </c>
      <c r="BF168" s="50">
        <v>696000</v>
      </c>
      <c r="BG168" s="50">
        <v>-5.7000814297347106E-3</v>
      </c>
      <c r="BH168" s="50">
        <v>29000</v>
      </c>
      <c r="BI168" s="50">
        <v>696000</v>
      </c>
      <c r="BJ168" s="50">
        <v>-5.7000814297347106E-3</v>
      </c>
      <c r="BK168" s="50">
        <v>58000</v>
      </c>
      <c r="BL168" s="50">
        <v>698400</v>
      </c>
      <c r="BM168" s="50">
        <v>-2.2714610208717269E-3</v>
      </c>
      <c r="BN168" s="50">
        <v>698400</v>
      </c>
      <c r="BO168" s="50">
        <v>-2.2714610208717269E-3</v>
      </c>
      <c r="BP168" s="50">
        <v>58200</v>
      </c>
      <c r="BQ168" s="50">
        <v>699990</v>
      </c>
      <c r="BR168" s="50" t="s">
        <v>747</v>
      </c>
      <c r="BS168" s="50" t="s">
        <v>748</v>
      </c>
    </row>
    <row r="169" spans="1:71" ht="15.75" customHeight="1" x14ac:dyDescent="0.2">
      <c r="A169" s="25" t="s">
        <v>825</v>
      </c>
      <c r="B169" s="26" t="s">
        <v>828</v>
      </c>
      <c r="C169" s="27" t="s">
        <v>401</v>
      </c>
      <c r="D169" s="50">
        <v>686400</v>
      </c>
      <c r="E169" s="30">
        <f>+(D169-$P169)/$P169</f>
        <v>-1.9414563065186647E-2</v>
      </c>
      <c r="F169" s="50">
        <f t="shared" si="15"/>
        <v>28600</v>
      </c>
      <c r="G169" s="50">
        <v>686400</v>
      </c>
      <c r="H169" s="30">
        <f>+(G169-$P169)/$P169</f>
        <v>-1.9414563065186647E-2</v>
      </c>
      <c r="I169" s="50">
        <f t="shared" si="16"/>
        <v>28600</v>
      </c>
      <c r="J169" s="50">
        <v>686400</v>
      </c>
      <c r="K169" s="30">
        <f>+(J169-$P169)/$P169</f>
        <v>-1.9414563065186647E-2</v>
      </c>
      <c r="L169" s="50">
        <f t="shared" si="17"/>
        <v>57200</v>
      </c>
      <c r="M169" s="50">
        <v>806400</v>
      </c>
      <c r="N169" s="30">
        <f t="shared" si="18"/>
        <v>0.15201645737796254</v>
      </c>
      <c r="O169" s="50">
        <f t="shared" si="19"/>
        <v>67200</v>
      </c>
      <c r="P169" s="50">
        <v>699990</v>
      </c>
      <c r="Q169" t="s">
        <v>829</v>
      </c>
      <c r="R169" t="e">
        <f>VLOOKUP(B169,#REF!,1,0)</f>
        <v>#REF!</v>
      </c>
      <c r="S169" s="50">
        <v>0</v>
      </c>
      <c r="T169" s="50">
        <v>0</v>
      </c>
      <c r="U169" s="50">
        <v>0</v>
      </c>
      <c r="V169" s="50">
        <v>0</v>
      </c>
      <c r="W169" s="50">
        <v>0</v>
      </c>
      <c r="X169" s="50">
        <v>0</v>
      </c>
      <c r="Y169" s="50">
        <v>0</v>
      </c>
      <c r="Z169" s="50">
        <v>0</v>
      </c>
      <c r="AA169" s="50">
        <v>0</v>
      </c>
      <c r="AB169" s="50">
        <v>-9600</v>
      </c>
      <c r="AC169" s="50">
        <v>-1.3714481635451936E-2</v>
      </c>
      <c r="AD169" s="50">
        <v>-400</v>
      </c>
      <c r="AE169" s="50">
        <v>-9600</v>
      </c>
      <c r="AF169" s="50">
        <v>-1.3714481635451936E-2</v>
      </c>
      <c r="AG169" s="50">
        <v>-400</v>
      </c>
      <c r="AH169" s="50">
        <v>-9600</v>
      </c>
      <c r="AI169" s="50">
        <v>-1.3714481635451936E-2</v>
      </c>
      <c r="AJ169" s="50">
        <v>-800</v>
      </c>
      <c r="AK169" s="50">
        <v>108000</v>
      </c>
      <c r="AL169" s="50">
        <v>0.15428791839883427</v>
      </c>
      <c r="AM169" s="50">
        <v>108000</v>
      </c>
      <c r="AN169" s="50">
        <v>0.15428791839883427</v>
      </c>
      <c r="AO169" s="50">
        <v>9000</v>
      </c>
      <c r="AP169" s="50">
        <v>0</v>
      </c>
      <c r="AQ169" s="50">
        <v>0</v>
      </c>
      <c r="AR169" s="50">
        <v>0</v>
      </c>
      <c r="AT169" s="50">
        <v>509990</v>
      </c>
      <c r="AU169" s="50">
        <v>30000</v>
      </c>
      <c r="AV169" s="50">
        <v>1049990</v>
      </c>
      <c r="AW169" s="50">
        <v>409990</v>
      </c>
      <c r="AX169" s="50">
        <v>30000</v>
      </c>
      <c r="AY169" s="50">
        <v>949990</v>
      </c>
      <c r="AZ169" s="50">
        <v>409990</v>
      </c>
      <c r="BA169" s="50">
        <v>30000</v>
      </c>
      <c r="BB169" s="50">
        <v>949990</v>
      </c>
      <c r="BC169" s="50">
        <v>696000</v>
      </c>
      <c r="BD169" s="50">
        <v>-5.7000814297347106E-3</v>
      </c>
      <c r="BE169" s="50">
        <v>29000</v>
      </c>
      <c r="BF169" s="50">
        <v>696000</v>
      </c>
      <c r="BG169" s="50">
        <v>-5.7000814297347106E-3</v>
      </c>
      <c r="BH169" s="50">
        <v>29000</v>
      </c>
      <c r="BI169" s="50">
        <v>696000</v>
      </c>
      <c r="BJ169" s="50">
        <v>-5.7000814297347106E-3</v>
      </c>
      <c r="BK169" s="50">
        <v>58000</v>
      </c>
      <c r="BL169" s="50">
        <v>698400</v>
      </c>
      <c r="BM169" s="50">
        <v>-2.2714610208717269E-3</v>
      </c>
      <c r="BN169" s="50">
        <v>698400</v>
      </c>
      <c r="BO169" s="50">
        <v>-2.2714610208717269E-3</v>
      </c>
      <c r="BP169" s="50">
        <v>58200</v>
      </c>
      <c r="BQ169" s="50">
        <v>699990</v>
      </c>
      <c r="BR169" s="50" t="s">
        <v>747</v>
      </c>
      <c r="BS169" s="50" t="s">
        <v>748</v>
      </c>
    </row>
    <row r="170" spans="1:71" ht="15.75" customHeight="1" x14ac:dyDescent="0.2">
      <c r="A170" s="25" t="s">
        <v>830</v>
      </c>
      <c r="B170" s="26" t="s">
        <v>833</v>
      </c>
      <c r="C170" s="27" t="s">
        <v>401</v>
      </c>
      <c r="D170" s="50">
        <v>124800</v>
      </c>
      <c r="E170" s="30">
        <f>+(D170-$P170)/$P170</f>
        <v>-0.50078003120124803</v>
      </c>
      <c r="F170" s="50">
        <f t="shared" si="15"/>
        <v>5200</v>
      </c>
      <c r="G170" s="50">
        <v>124800</v>
      </c>
      <c r="H170" s="30">
        <f>+(G170-$P170)/$P170</f>
        <v>-0.50078003120124803</v>
      </c>
      <c r="I170" s="50">
        <f t="shared" si="16"/>
        <v>5200</v>
      </c>
      <c r="J170" s="50">
        <v>124800</v>
      </c>
      <c r="K170" s="30">
        <f>+(J170-$P170)/$P170</f>
        <v>-0.50078003120124803</v>
      </c>
      <c r="L170" s="50">
        <f t="shared" si="17"/>
        <v>10400</v>
      </c>
      <c r="M170" s="50">
        <v>136800</v>
      </c>
      <c r="N170" s="30">
        <f t="shared" si="18"/>
        <v>-0.45277811112444499</v>
      </c>
      <c r="O170" s="50">
        <f t="shared" si="19"/>
        <v>11400</v>
      </c>
      <c r="P170" s="50">
        <v>249990</v>
      </c>
      <c r="Q170" t="s">
        <v>836</v>
      </c>
      <c r="R170" t="e">
        <f>VLOOKUP(B170,#REF!,1,0)</f>
        <v>#REF!</v>
      </c>
      <c r="S170" s="50">
        <v>-10000</v>
      </c>
      <c r="T170" s="50">
        <v>1700</v>
      </c>
      <c r="U170" s="50">
        <v>20600</v>
      </c>
      <c r="V170" s="50">
        <v>-10000</v>
      </c>
      <c r="W170" s="50">
        <v>1700</v>
      </c>
      <c r="X170" s="50">
        <v>20600</v>
      </c>
      <c r="Y170" s="50">
        <v>-10000</v>
      </c>
      <c r="Z170" s="50">
        <v>1700</v>
      </c>
      <c r="AA170" s="50">
        <v>20600</v>
      </c>
      <c r="AB170" s="50">
        <v>0</v>
      </c>
      <c r="AC170" s="50">
        <v>0</v>
      </c>
      <c r="AD170" s="50">
        <v>0</v>
      </c>
      <c r="AE170" s="50">
        <v>0</v>
      </c>
      <c r="AF170" s="50">
        <v>0</v>
      </c>
      <c r="AG170" s="50">
        <v>0</v>
      </c>
      <c r="AH170" s="50">
        <v>0</v>
      </c>
      <c r="AI170" s="50">
        <v>0</v>
      </c>
      <c r="AJ170" s="50">
        <v>0</v>
      </c>
      <c r="AK170" s="50">
        <v>0</v>
      </c>
      <c r="AL170" s="50">
        <v>0</v>
      </c>
      <c r="AM170" s="50">
        <v>0</v>
      </c>
      <c r="AN170" s="50">
        <v>0</v>
      </c>
      <c r="AO170" s="50">
        <v>0</v>
      </c>
      <c r="AP170" s="50">
        <v>0</v>
      </c>
      <c r="AQ170" s="50">
        <v>0</v>
      </c>
      <c r="AR170" s="50">
        <v>0</v>
      </c>
      <c r="AT170" s="50">
        <v>39990</v>
      </c>
      <c r="AU170" s="50">
        <v>8300</v>
      </c>
      <c r="AV170" s="50">
        <v>189390</v>
      </c>
      <c r="AW170" s="50">
        <v>39990</v>
      </c>
      <c r="AX170" s="50">
        <v>8300</v>
      </c>
      <c r="AY170" s="50">
        <v>189390</v>
      </c>
      <c r="AZ170" s="50">
        <v>39990</v>
      </c>
      <c r="BA170" s="50">
        <v>8300</v>
      </c>
      <c r="BB170" s="50">
        <v>189390</v>
      </c>
      <c r="BC170" s="50">
        <v>124800</v>
      </c>
      <c r="BD170" s="50">
        <v>-0.50078003120124803</v>
      </c>
      <c r="BE170" s="50">
        <v>5200</v>
      </c>
      <c r="BF170" s="50">
        <v>124800</v>
      </c>
      <c r="BG170" s="50">
        <v>-0.50078003120124803</v>
      </c>
      <c r="BH170" s="50">
        <v>5200</v>
      </c>
      <c r="BI170" s="50">
        <v>124800</v>
      </c>
      <c r="BJ170" s="50">
        <v>-0.50078003120124803</v>
      </c>
      <c r="BK170" s="50">
        <v>10400</v>
      </c>
      <c r="BL170" s="50">
        <v>136800</v>
      </c>
      <c r="BM170" s="50">
        <v>-0.45277811112444499</v>
      </c>
      <c r="BN170" s="50">
        <v>136800</v>
      </c>
      <c r="BO170" s="50">
        <v>-0.45277811112444499</v>
      </c>
      <c r="BP170" s="50">
        <v>11400</v>
      </c>
      <c r="BQ170" s="50">
        <v>249990</v>
      </c>
      <c r="BR170" s="50" t="s">
        <v>987</v>
      </c>
      <c r="BS170" s="50" t="s">
        <v>988</v>
      </c>
    </row>
    <row r="171" spans="1:71" ht="15.75" customHeight="1" x14ac:dyDescent="0.2">
      <c r="A171" s="25" t="s">
        <v>831</v>
      </c>
      <c r="B171" s="26" t="s">
        <v>834</v>
      </c>
      <c r="C171" s="27" t="s">
        <v>401</v>
      </c>
      <c r="D171" s="50">
        <v>158400</v>
      </c>
      <c r="E171" s="30">
        <f>+(D171-$P171)/$P171</f>
        <v>-0.31127440323492328</v>
      </c>
      <c r="F171" s="50">
        <f t="shared" si="15"/>
        <v>6600</v>
      </c>
      <c r="G171" s="50">
        <v>158400</v>
      </c>
      <c r="H171" s="30">
        <f>+(G171-$P171)/$P171</f>
        <v>-0.31127440323492328</v>
      </c>
      <c r="I171" s="50">
        <f t="shared" si="16"/>
        <v>6600</v>
      </c>
      <c r="J171" s="50">
        <v>158400</v>
      </c>
      <c r="K171" s="30">
        <f>+(J171-$P171)/$P171</f>
        <v>-0.31127440323492328</v>
      </c>
      <c r="L171" s="50">
        <f t="shared" si="17"/>
        <v>13200</v>
      </c>
      <c r="M171" s="50">
        <v>182400</v>
      </c>
      <c r="N171" s="30">
        <f t="shared" si="18"/>
        <v>-0.20692204008869952</v>
      </c>
      <c r="O171" s="50">
        <f t="shared" si="19"/>
        <v>15200</v>
      </c>
      <c r="P171" s="50">
        <v>229990</v>
      </c>
      <c r="Q171" t="s">
        <v>837</v>
      </c>
      <c r="R171" t="e">
        <f>VLOOKUP(B171,#REF!,1,0)</f>
        <v>#REF!</v>
      </c>
      <c r="S171" s="50">
        <v>-10000</v>
      </c>
      <c r="T171" s="50">
        <v>600</v>
      </c>
      <c r="U171" s="50">
        <v>800</v>
      </c>
      <c r="V171" s="50">
        <v>-10000</v>
      </c>
      <c r="W171" s="50">
        <v>600</v>
      </c>
      <c r="X171" s="50">
        <v>800</v>
      </c>
      <c r="Y171" s="50">
        <v>-10000</v>
      </c>
      <c r="Z171" s="50">
        <v>600</v>
      </c>
      <c r="AA171" s="50">
        <v>800</v>
      </c>
      <c r="AB171" s="50">
        <v>0</v>
      </c>
      <c r="AC171" s="50">
        <v>0</v>
      </c>
      <c r="AD171" s="50">
        <v>0</v>
      </c>
      <c r="AE171" s="50">
        <v>0</v>
      </c>
      <c r="AF171" s="50">
        <v>0</v>
      </c>
      <c r="AG171" s="50">
        <v>0</v>
      </c>
      <c r="AH171" s="50">
        <v>0</v>
      </c>
      <c r="AI171" s="50">
        <v>0</v>
      </c>
      <c r="AJ171" s="50">
        <v>0</v>
      </c>
      <c r="AK171" s="50">
        <v>0</v>
      </c>
      <c r="AL171" s="50">
        <v>0</v>
      </c>
      <c r="AM171" s="50">
        <v>0</v>
      </c>
      <c r="AN171" s="50">
        <v>0</v>
      </c>
      <c r="AO171" s="50">
        <v>0</v>
      </c>
      <c r="AP171" s="50">
        <v>0</v>
      </c>
      <c r="AQ171" s="50">
        <v>0</v>
      </c>
      <c r="AR171" s="50">
        <v>0</v>
      </c>
      <c r="AT171" s="50">
        <v>69990</v>
      </c>
      <c r="AU171" s="50">
        <v>9300</v>
      </c>
      <c r="AV171" s="50">
        <v>237390</v>
      </c>
      <c r="AW171" s="50">
        <v>69990</v>
      </c>
      <c r="AX171" s="50">
        <v>9300</v>
      </c>
      <c r="AY171" s="50">
        <v>237390</v>
      </c>
      <c r="AZ171" s="50">
        <v>69990</v>
      </c>
      <c r="BA171" s="50">
        <v>9300</v>
      </c>
      <c r="BB171" s="50">
        <v>237390</v>
      </c>
      <c r="BC171" s="50">
        <v>158400</v>
      </c>
      <c r="BD171" s="50">
        <v>-0.31127440323492328</v>
      </c>
      <c r="BE171" s="50">
        <v>6600</v>
      </c>
      <c r="BF171" s="50">
        <v>158400</v>
      </c>
      <c r="BG171" s="50">
        <v>-0.31127440323492328</v>
      </c>
      <c r="BH171" s="50">
        <v>6600</v>
      </c>
      <c r="BI171" s="50">
        <v>158400</v>
      </c>
      <c r="BJ171" s="50">
        <v>-0.31127440323492328</v>
      </c>
      <c r="BK171" s="50">
        <v>13200</v>
      </c>
      <c r="BL171" s="50">
        <v>182400</v>
      </c>
      <c r="BM171" s="50">
        <v>-0.20692204008869952</v>
      </c>
      <c r="BN171" s="50">
        <v>182400</v>
      </c>
      <c r="BO171" s="50">
        <v>-0.20692204008869952</v>
      </c>
      <c r="BP171" s="50">
        <v>15200</v>
      </c>
      <c r="BQ171" s="50">
        <v>229990</v>
      </c>
      <c r="BR171" s="50" t="s">
        <v>987</v>
      </c>
      <c r="BS171" s="50" t="s">
        <v>988</v>
      </c>
    </row>
    <row r="172" spans="1:71" ht="15.75" customHeight="1" x14ac:dyDescent="0.2">
      <c r="A172" s="25" t="s">
        <v>832</v>
      </c>
      <c r="B172" s="26" t="s">
        <v>835</v>
      </c>
      <c r="C172" s="27" t="s">
        <v>401</v>
      </c>
      <c r="D172" s="50">
        <v>158400</v>
      </c>
      <c r="E172" s="30">
        <f>+(D172-$P172)/$P172</f>
        <v>-0.31127440323492328</v>
      </c>
      <c r="F172" s="50">
        <f t="shared" si="15"/>
        <v>6600</v>
      </c>
      <c r="G172" s="50">
        <v>158400</v>
      </c>
      <c r="H172" s="30">
        <f>+(G172-$P172)/$P172</f>
        <v>-0.31127440323492328</v>
      </c>
      <c r="I172" s="50">
        <f t="shared" si="16"/>
        <v>6600</v>
      </c>
      <c r="J172" s="50">
        <v>158400</v>
      </c>
      <c r="K172" s="30">
        <f>+(J172-$P172)/$P172</f>
        <v>-0.31127440323492328</v>
      </c>
      <c r="L172" s="50">
        <f t="shared" si="17"/>
        <v>13200</v>
      </c>
      <c r="M172" s="50">
        <v>182400</v>
      </c>
      <c r="N172" s="30">
        <f t="shared" si="18"/>
        <v>-0.20692204008869952</v>
      </c>
      <c r="O172" s="50">
        <f t="shared" si="19"/>
        <v>15200</v>
      </c>
      <c r="P172" s="50">
        <v>229990</v>
      </c>
      <c r="Q172" t="s">
        <v>837</v>
      </c>
      <c r="R172" t="e">
        <f>VLOOKUP(B172,#REF!,1,0)</f>
        <v>#REF!</v>
      </c>
      <c r="S172" s="50">
        <v>-10000</v>
      </c>
      <c r="T172" s="50">
        <v>600</v>
      </c>
      <c r="U172" s="50">
        <v>800</v>
      </c>
      <c r="V172" s="50">
        <v>-10000</v>
      </c>
      <c r="W172" s="50">
        <v>600</v>
      </c>
      <c r="X172" s="50">
        <v>800</v>
      </c>
      <c r="Y172" s="50">
        <v>-10000</v>
      </c>
      <c r="Z172" s="50">
        <v>600</v>
      </c>
      <c r="AA172" s="50">
        <v>800</v>
      </c>
      <c r="AB172" s="50">
        <v>0</v>
      </c>
      <c r="AC172" s="50">
        <v>0</v>
      </c>
      <c r="AD172" s="50">
        <v>0</v>
      </c>
      <c r="AE172" s="50">
        <v>0</v>
      </c>
      <c r="AF172" s="50">
        <v>0</v>
      </c>
      <c r="AG172" s="50">
        <v>0</v>
      </c>
      <c r="AH172" s="50">
        <v>0</v>
      </c>
      <c r="AI172" s="50">
        <v>0</v>
      </c>
      <c r="AJ172" s="50">
        <v>0</v>
      </c>
      <c r="AK172" s="50">
        <v>0</v>
      </c>
      <c r="AL172" s="50">
        <v>0</v>
      </c>
      <c r="AM172" s="50">
        <v>0</v>
      </c>
      <c r="AN172" s="50">
        <v>0</v>
      </c>
      <c r="AO172" s="50">
        <v>0</v>
      </c>
      <c r="AP172" s="50">
        <v>0</v>
      </c>
      <c r="AQ172" s="50">
        <v>0</v>
      </c>
      <c r="AR172" s="50">
        <v>0</v>
      </c>
      <c r="AT172" s="50">
        <v>69990</v>
      </c>
      <c r="AU172" s="50">
        <v>9300</v>
      </c>
      <c r="AV172" s="50">
        <v>237390</v>
      </c>
      <c r="AW172" s="50">
        <v>69990</v>
      </c>
      <c r="AX172" s="50">
        <v>9300</v>
      </c>
      <c r="AY172" s="50">
        <v>237390</v>
      </c>
      <c r="AZ172" s="50">
        <v>69990</v>
      </c>
      <c r="BA172" s="50">
        <v>9300</v>
      </c>
      <c r="BB172" s="50">
        <v>237390</v>
      </c>
      <c r="BC172" s="50">
        <v>158400</v>
      </c>
      <c r="BD172" s="50">
        <v>-0.31127440323492328</v>
      </c>
      <c r="BE172" s="50">
        <v>6600</v>
      </c>
      <c r="BF172" s="50">
        <v>158400</v>
      </c>
      <c r="BG172" s="50">
        <v>-0.31127440323492328</v>
      </c>
      <c r="BH172" s="50">
        <v>6600</v>
      </c>
      <c r="BI172" s="50">
        <v>158400</v>
      </c>
      <c r="BJ172" s="50">
        <v>-0.31127440323492328</v>
      </c>
      <c r="BK172" s="50">
        <v>13200</v>
      </c>
      <c r="BL172" s="50">
        <v>182400</v>
      </c>
      <c r="BM172" s="50">
        <v>-0.20692204008869952</v>
      </c>
      <c r="BN172" s="50">
        <v>182400</v>
      </c>
      <c r="BO172" s="50">
        <v>-0.20692204008869952</v>
      </c>
      <c r="BP172" s="50">
        <v>15200</v>
      </c>
      <c r="BQ172" s="50">
        <v>229990</v>
      </c>
      <c r="BR172" s="50" t="s">
        <v>987</v>
      </c>
      <c r="BS172" s="50" t="s">
        <v>988</v>
      </c>
    </row>
    <row r="173" spans="1:71" ht="15.75" customHeight="1" x14ac:dyDescent="0.2">
      <c r="A173" s="25" t="s">
        <v>838</v>
      </c>
      <c r="B173" s="26" t="s">
        <v>840</v>
      </c>
      <c r="C173" s="27" t="s">
        <v>401</v>
      </c>
      <c r="D173" s="50">
        <v>177600</v>
      </c>
      <c r="E173" s="30">
        <f>+(D173-$P173)/$P173</f>
        <v>-0.36569163184399445</v>
      </c>
      <c r="F173" s="50">
        <f t="shared" si="15"/>
        <v>7400</v>
      </c>
      <c r="G173" s="50">
        <v>177600</v>
      </c>
      <c r="H173" s="30">
        <f>+(G173-$P173)/$P173</f>
        <v>-0.36569163184399445</v>
      </c>
      <c r="I173" s="50">
        <f t="shared" si="16"/>
        <v>7400</v>
      </c>
      <c r="J173" s="50">
        <v>177600</v>
      </c>
      <c r="K173" s="30">
        <f>+(J173-$P173)/$P173</f>
        <v>-0.36569163184399445</v>
      </c>
      <c r="L173" s="50">
        <f t="shared" si="17"/>
        <v>14800</v>
      </c>
      <c r="M173" s="50">
        <v>201600</v>
      </c>
      <c r="N173" s="30">
        <f t="shared" si="18"/>
        <v>-0.27997428479588554</v>
      </c>
      <c r="O173" s="50">
        <f t="shared" si="19"/>
        <v>16800</v>
      </c>
      <c r="P173" s="50">
        <v>279990</v>
      </c>
      <c r="Q173" t="s">
        <v>814</v>
      </c>
      <c r="R173" t="e">
        <f>VLOOKUP(B173,#REF!,1,0)</f>
        <v>#REF!</v>
      </c>
      <c r="S173" s="50">
        <v>-20000</v>
      </c>
      <c r="T173" s="50">
        <v>1100</v>
      </c>
      <c r="U173" s="50">
        <v>-200</v>
      </c>
      <c r="V173" s="50">
        <v>-20000</v>
      </c>
      <c r="W173" s="50">
        <v>1100</v>
      </c>
      <c r="X173" s="50">
        <v>-200</v>
      </c>
      <c r="Y173" s="50">
        <v>-20000</v>
      </c>
      <c r="Z173" s="50">
        <v>1100</v>
      </c>
      <c r="AA173" s="50">
        <v>-200</v>
      </c>
      <c r="AB173" s="50">
        <v>-7200</v>
      </c>
      <c r="AC173" s="50">
        <v>-2.5715204114432677E-2</v>
      </c>
      <c r="AD173" s="50">
        <v>-300</v>
      </c>
      <c r="AE173" s="50">
        <v>-7200</v>
      </c>
      <c r="AF173" s="50">
        <v>-2.5715204114432677E-2</v>
      </c>
      <c r="AG173" s="50">
        <v>-300</v>
      </c>
      <c r="AH173" s="50">
        <v>-7200</v>
      </c>
      <c r="AI173" s="50">
        <v>-2.5715204114432677E-2</v>
      </c>
      <c r="AJ173" s="50">
        <v>-600</v>
      </c>
      <c r="AK173" s="50">
        <v>9600</v>
      </c>
      <c r="AL173" s="50">
        <v>3.4286938819243551E-2</v>
      </c>
      <c r="AM173" s="50">
        <v>9600</v>
      </c>
      <c r="AN173" s="50">
        <v>3.4286938819243551E-2</v>
      </c>
      <c r="AO173" s="50">
        <v>800</v>
      </c>
      <c r="AP173" s="50">
        <v>0</v>
      </c>
      <c r="AQ173" s="50">
        <v>0</v>
      </c>
      <c r="AR173" s="50">
        <v>0</v>
      </c>
      <c r="AT173" s="50">
        <v>99990</v>
      </c>
      <c r="AU173" s="50">
        <v>11200</v>
      </c>
      <c r="AV173" s="50">
        <v>301590</v>
      </c>
      <c r="AW173" s="50">
        <v>99990</v>
      </c>
      <c r="AX173" s="50">
        <v>11200</v>
      </c>
      <c r="AY173" s="50">
        <v>301590</v>
      </c>
      <c r="AZ173" s="50">
        <v>99990</v>
      </c>
      <c r="BA173" s="50">
        <v>11200</v>
      </c>
      <c r="BB173" s="50">
        <v>301590</v>
      </c>
      <c r="BC173" s="50">
        <v>184800</v>
      </c>
      <c r="BD173" s="50">
        <v>-0.33997642772956177</v>
      </c>
      <c r="BE173" s="50">
        <v>7700</v>
      </c>
      <c r="BF173" s="50">
        <v>184800</v>
      </c>
      <c r="BG173" s="50">
        <v>-0.33997642772956177</v>
      </c>
      <c r="BH173" s="50">
        <v>7700</v>
      </c>
      <c r="BI173" s="50">
        <v>184800</v>
      </c>
      <c r="BJ173" s="50">
        <v>-0.33997642772956177</v>
      </c>
      <c r="BK173" s="50">
        <v>15400</v>
      </c>
      <c r="BL173" s="50">
        <v>192000</v>
      </c>
      <c r="BM173" s="50">
        <v>-0.31426122361512909</v>
      </c>
      <c r="BN173" s="50">
        <v>192000</v>
      </c>
      <c r="BO173" s="50">
        <v>-0.31426122361512909</v>
      </c>
      <c r="BP173" s="50">
        <v>16000</v>
      </c>
      <c r="BQ173" s="50">
        <v>279990</v>
      </c>
      <c r="BR173" s="50" t="s">
        <v>987</v>
      </c>
      <c r="BS173" s="50" t="s">
        <v>988</v>
      </c>
    </row>
    <row r="174" spans="1:71" ht="15.75" customHeight="1" x14ac:dyDescent="0.2">
      <c r="A174" s="25" t="s">
        <v>839</v>
      </c>
      <c r="B174" s="26" t="s">
        <v>841</v>
      </c>
      <c r="C174" s="27" t="s">
        <v>401</v>
      </c>
      <c r="D174" s="50">
        <v>177600</v>
      </c>
      <c r="E174" s="30">
        <f>+(D174-$P174)/$P174</f>
        <v>-0.36569163184399445</v>
      </c>
      <c r="F174" s="50">
        <f t="shared" si="15"/>
        <v>7400</v>
      </c>
      <c r="G174" s="50">
        <v>177600</v>
      </c>
      <c r="H174" s="30">
        <f>+(G174-$P174)/$P174</f>
        <v>-0.36569163184399445</v>
      </c>
      <c r="I174" s="50">
        <f t="shared" si="16"/>
        <v>7400</v>
      </c>
      <c r="J174" s="50">
        <v>177600</v>
      </c>
      <c r="K174" s="30">
        <f>+(J174-$P174)/$P174</f>
        <v>-0.36569163184399445</v>
      </c>
      <c r="L174" s="50">
        <f t="shared" si="17"/>
        <v>14800</v>
      </c>
      <c r="M174" s="50">
        <v>201600</v>
      </c>
      <c r="N174" s="30">
        <f t="shared" si="18"/>
        <v>-0.27997428479588554</v>
      </c>
      <c r="O174" s="50">
        <f t="shared" si="19"/>
        <v>16800</v>
      </c>
      <c r="P174" s="50">
        <v>279990</v>
      </c>
      <c r="Q174" t="s">
        <v>814</v>
      </c>
      <c r="R174" t="e">
        <f>VLOOKUP(B174,#REF!,1,0)</f>
        <v>#REF!</v>
      </c>
      <c r="S174" s="50">
        <v>-20000</v>
      </c>
      <c r="T174" s="50">
        <v>1100</v>
      </c>
      <c r="U174" s="50">
        <v>-200</v>
      </c>
      <c r="V174" s="50">
        <v>-20000</v>
      </c>
      <c r="W174" s="50">
        <v>1100</v>
      </c>
      <c r="X174" s="50">
        <v>-200</v>
      </c>
      <c r="Y174" s="50">
        <v>-20000</v>
      </c>
      <c r="Z174" s="50">
        <v>1100</v>
      </c>
      <c r="AA174" s="50">
        <v>-200</v>
      </c>
      <c r="AB174" s="50">
        <v>-7200</v>
      </c>
      <c r="AC174" s="50">
        <v>-2.5715204114432677E-2</v>
      </c>
      <c r="AD174" s="50">
        <v>-300</v>
      </c>
      <c r="AE174" s="50">
        <v>-7200</v>
      </c>
      <c r="AF174" s="50">
        <v>-2.5715204114432677E-2</v>
      </c>
      <c r="AG174" s="50">
        <v>-300</v>
      </c>
      <c r="AH174" s="50">
        <v>-7200</v>
      </c>
      <c r="AI174" s="50">
        <v>-2.5715204114432677E-2</v>
      </c>
      <c r="AJ174" s="50">
        <v>-600</v>
      </c>
      <c r="AK174" s="50">
        <v>9600</v>
      </c>
      <c r="AL174" s="50">
        <v>3.4286938819243551E-2</v>
      </c>
      <c r="AM174" s="50">
        <v>9600</v>
      </c>
      <c r="AN174" s="50">
        <v>3.4286938819243551E-2</v>
      </c>
      <c r="AO174" s="50">
        <v>800</v>
      </c>
      <c r="AP174" s="50">
        <v>0</v>
      </c>
      <c r="AQ174" s="50">
        <v>0</v>
      </c>
      <c r="AR174" s="50">
        <v>0</v>
      </c>
      <c r="AT174" s="50">
        <v>99990</v>
      </c>
      <c r="AU174" s="50">
        <v>11200</v>
      </c>
      <c r="AV174" s="50">
        <v>301590</v>
      </c>
      <c r="AW174" s="50">
        <v>99990</v>
      </c>
      <c r="AX174" s="50">
        <v>11200</v>
      </c>
      <c r="AY174" s="50">
        <v>301590</v>
      </c>
      <c r="AZ174" s="50">
        <v>99990</v>
      </c>
      <c r="BA174" s="50">
        <v>11200</v>
      </c>
      <c r="BB174" s="50">
        <v>301590</v>
      </c>
      <c r="BC174" s="50">
        <v>184800</v>
      </c>
      <c r="BD174" s="50">
        <v>-0.33997642772956177</v>
      </c>
      <c r="BE174" s="50">
        <v>7700</v>
      </c>
      <c r="BF174" s="50">
        <v>184800</v>
      </c>
      <c r="BG174" s="50">
        <v>-0.33997642772956177</v>
      </c>
      <c r="BH174" s="50">
        <v>7700</v>
      </c>
      <c r="BI174" s="50">
        <v>184800</v>
      </c>
      <c r="BJ174" s="50">
        <v>-0.33997642772956177</v>
      </c>
      <c r="BK174" s="50">
        <v>15400</v>
      </c>
      <c r="BL174" s="50">
        <v>192000</v>
      </c>
      <c r="BM174" s="50">
        <v>-0.31426122361512909</v>
      </c>
      <c r="BN174" s="50">
        <v>192000</v>
      </c>
      <c r="BO174" s="50">
        <v>-0.31426122361512909</v>
      </c>
      <c r="BP174" s="50">
        <v>16000</v>
      </c>
      <c r="BQ174" s="50">
        <v>279990</v>
      </c>
      <c r="BR174" s="50" t="s">
        <v>987</v>
      </c>
      <c r="BS174" s="50" t="s">
        <v>988</v>
      </c>
    </row>
    <row r="175" spans="1:71" ht="15.75" customHeight="1" x14ac:dyDescent="0.2">
      <c r="A175" s="25" t="s">
        <v>846</v>
      </c>
      <c r="B175" s="26" t="s">
        <v>847</v>
      </c>
      <c r="C175" s="27" t="s">
        <v>401</v>
      </c>
      <c r="D175" s="50">
        <v>1320000</v>
      </c>
      <c r="E175" s="30">
        <f>+(D175-$P175)/$P175</f>
        <v>-0.17499484371777324</v>
      </c>
      <c r="F175" s="50">
        <f t="shared" si="15"/>
        <v>55000</v>
      </c>
      <c r="G175" s="50">
        <v>1320000</v>
      </c>
      <c r="H175" s="30">
        <f>+(G175-$P175)/$P175</f>
        <v>-0.17499484371777324</v>
      </c>
      <c r="I175" s="50">
        <f t="shared" si="16"/>
        <v>55000</v>
      </c>
      <c r="J175" s="50">
        <v>1320000</v>
      </c>
      <c r="K175" s="30">
        <f>+(J175-$P175)/$P175</f>
        <v>-0.17499484371777324</v>
      </c>
      <c r="L175" s="50">
        <f t="shared" si="17"/>
        <v>110000</v>
      </c>
      <c r="M175" s="50">
        <v>1440000</v>
      </c>
      <c r="N175" s="30">
        <f t="shared" si="18"/>
        <v>-9.9994374964843535E-2</v>
      </c>
      <c r="O175" s="50">
        <f t="shared" si="19"/>
        <v>120000</v>
      </c>
      <c r="P175" s="50">
        <v>1599990</v>
      </c>
      <c r="Q175" t="s">
        <v>866</v>
      </c>
      <c r="R175" t="e">
        <f>VLOOKUP(B175,#REF!,1,0)</f>
        <v>#REF!</v>
      </c>
      <c r="S175" s="50">
        <v>0</v>
      </c>
      <c r="T175" s="50">
        <v>0</v>
      </c>
      <c r="U175" s="50">
        <v>0</v>
      </c>
      <c r="V175" s="50">
        <v>0</v>
      </c>
      <c r="W175" s="50">
        <v>0</v>
      </c>
      <c r="X175" s="50">
        <v>0</v>
      </c>
      <c r="Y175" s="50">
        <v>0</v>
      </c>
      <c r="Z175" s="50">
        <v>0</v>
      </c>
      <c r="AA175" s="50">
        <v>0</v>
      </c>
      <c r="AB175" s="50">
        <v>0</v>
      </c>
      <c r="AC175" s="50">
        <v>0</v>
      </c>
      <c r="AD175" s="50">
        <v>0</v>
      </c>
      <c r="AE175" s="50">
        <v>0</v>
      </c>
      <c r="AF175" s="50">
        <v>0</v>
      </c>
      <c r="AG175" s="50">
        <v>0</v>
      </c>
      <c r="AH175" s="50">
        <v>0</v>
      </c>
      <c r="AI175" s="50">
        <v>0</v>
      </c>
      <c r="AJ175" s="50">
        <v>0</v>
      </c>
      <c r="AK175" s="50">
        <v>-84000</v>
      </c>
      <c r="AL175" s="50">
        <v>-5.2500328127050799E-2</v>
      </c>
      <c r="AM175" s="50">
        <v>-84000</v>
      </c>
      <c r="AN175" s="50">
        <v>-5.2500328127050799E-2</v>
      </c>
      <c r="AO175" s="50">
        <v>-7000</v>
      </c>
      <c r="AP175" s="50">
        <v>0</v>
      </c>
      <c r="AQ175" s="50">
        <v>0</v>
      </c>
      <c r="AR175" s="50">
        <v>0</v>
      </c>
      <c r="AT175" s="50">
        <v>939990</v>
      </c>
      <c r="AU175" s="50">
        <v>53800</v>
      </c>
      <c r="AV175" s="50">
        <v>1908390</v>
      </c>
      <c r="AW175" s="50">
        <v>839990</v>
      </c>
      <c r="AX175" s="50">
        <v>53800</v>
      </c>
      <c r="AY175" s="50">
        <v>1808390</v>
      </c>
      <c r="AZ175" s="50">
        <v>839990</v>
      </c>
      <c r="BA175" s="50">
        <v>53800</v>
      </c>
      <c r="BB175" s="50">
        <v>1808390</v>
      </c>
      <c r="BC175" s="50">
        <v>1320000</v>
      </c>
      <c r="BD175" s="50">
        <v>-0.17499484371777324</v>
      </c>
      <c r="BE175" s="50">
        <v>55000</v>
      </c>
      <c r="BF175" s="50">
        <v>1320000</v>
      </c>
      <c r="BG175" s="50">
        <v>-0.17499484371777324</v>
      </c>
      <c r="BH175" s="50">
        <v>55000</v>
      </c>
      <c r="BI175" s="50">
        <v>1320000</v>
      </c>
      <c r="BJ175" s="50">
        <v>-0.17499484371777324</v>
      </c>
      <c r="BK175" s="50">
        <v>110000</v>
      </c>
      <c r="BL175" s="50">
        <v>1524000</v>
      </c>
      <c r="BM175" s="50">
        <v>-4.7494046837792736E-2</v>
      </c>
      <c r="BN175" s="50">
        <v>1524000</v>
      </c>
      <c r="BO175" s="50">
        <v>-4.7494046837792736E-2</v>
      </c>
      <c r="BP175" s="50">
        <v>127000</v>
      </c>
      <c r="BQ175" s="50">
        <v>1599990</v>
      </c>
      <c r="BR175" s="50" t="s">
        <v>747</v>
      </c>
      <c r="BS175" s="50" t="s">
        <v>748</v>
      </c>
    </row>
    <row r="176" spans="1:71" ht="15.75" customHeight="1" x14ac:dyDescent="0.2">
      <c r="A176" s="25" t="s">
        <v>848</v>
      </c>
      <c r="B176" s="26" t="s">
        <v>849</v>
      </c>
      <c r="C176" s="27" t="s">
        <v>401</v>
      </c>
      <c r="D176" s="50">
        <v>1320000</v>
      </c>
      <c r="E176" s="30">
        <f>+(D176-$P176)/$P176</f>
        <v>-0.17499484371777324</v>
      </c>
      <c r="F176" s="50">
        <f t="shared" si="15"/>
        <v>55000</v>
      </c>
      <c r="G176" s="50">
        <v>1320000</v>
      </c>
      <c r="H176" s="30">
        <f>+(G176-$P176)/$P176</f>
        <v>-0.17499484371777324</v>
      </c>
      <c r="I176" s="50">
        <f t="shared" si="16"/>
        <v>55000</v>
      </c>
      <c r="J176" s="50">
        <v>1320000</v>
      </c>
      <c r="K176" s="30">
        <f>+(J176-$P176)/$P176</f>
        <v>-0.17499484371777324</v>
      </c>
      <c r="L176" s="50">
        <f t="shared" si="17"/>
        <v>110000</v>
      </c>
      <c r="M176" s="50">
        <v>1440000</v>
      </c>
      <c r="N176" s="30">
        <f t="shared" si="18"/>
        <v>-9.9994374964843535E-2</v>
      </c>
      <c r="O176" s="50">
        <f t="shared" si="19"/>
        <v>120000</v>
      </c>
      <c r="P176" s="50">
        <v>1599990</v>
      </c>
      <c r="Q176" t="s">
        <v>866</v>
      </c>
      <c r="R176" t="e">
        <f>VLOOKUP(B176,#REF!,1,0)</f>
        <v>#REF!</v>
      </c>
      <c r="S176" s="50">
        <v>0</v>
      </c>
      <c r="T176" s="50">
        <v>0</v>
      </c>
      <c r="U176" s="50">
        <v>0</v>
      </c>
      <c r="V176" s="50">
        <v>0</v>
      </c>
      <c r="W176" s="50">
        <v>0</v>
      </c>
      <c r="X176" s="50">
        <v>0</v>
      </c>
      <c r="Y176" s="50">
        <v>0</v>
      </c>
      <c r="Z176" s="50">
        <v>0</v>
      </c>
      <c r="AA176" s="50">
        <v>0</v>
      </c>
      <c r="AB176" s="50">
        <v>0</v>
      </c>
      <c r="AC176" s="50">
        <v>0</v>
      </c>
      <c r="AD176" s="50">
        <v>0</v>
      </c>
      <c r="AE176" s="50">
        <v>0</v>
      </c>
      <c r="AF176" s="50">
        <v>0</v>
      </c>
      <c r="AG176" s="50">
        <v>0</v>
      </c>
      <c r="AH176" s="50">
        <v>0</v>
      </c>
      <c r="AI176" s="50">
        <v>0</v>
      </c>
      <c r="AJ176" s="50">
        <v>0</v>
      </c>
      <c r="AK176" s="50">
        <v>-84000</v>
      </c>
      <c r="AL176" s="50">
        <v>-5.2500328127050799E-2</v>
      </c>
      <c r="AM176" s="50">
        <v>-84000</v>
      </c>
      <c r="AN176" s="50">
        <v>-5.2500328127050799E-2</v>
      </c>
      <c r="AO176" s="50">
        <v>-7000</v>
      </c>
      <c r="AP176" s="50">
        <v>0</v>
      </c>
      <c r="AQ176" s="50">
        <v>0</v>
      </c>
      <c r="AR176" s="50">
        <v>0</v>
      </c>
      <c r="AT176" s="50">
        <v>939990</v>
      </c>
      <c r="AU176" s="50">
        <v>53800</v>
      </c>
      <c r="AV176" s="50">
        <v>1908390</v>
      </c>
      <c r="AW176" s="50">
        <v>839990</v>
      </c>
      <c r="AX176" s="50">
        <v>53800</v>
      </c>
      <c r="AY176" s="50">
        <v>1808390</v>
      </c>
      <c r="AZ176" s="50">
        <v>839990</v>
      </c>
      <c r="BA176" s="50">
        <v>53800</v>
      </c>
      <c r="BB176" s="50">
        <v>1808390</v>
      </c>
      <c r="BC176" s="50">
        <v>1320000</v>
      </c>
      <c r="BD176" s="50">
        <v>-0.17499484371777324</v>
      </c>
      <c r="BE176" s="50">
        <v>55000</v>
      </c>
      <c r="BF176" s="50">
        <v>1320000</v>
      </c>
      <c r="BG176" s="50">
        <v>-0.17499484371777324</v>
      </c>
      <c r="BH176" s="50">
        <v>55000</v>
      </c>
      <c r="BI176" s="50">
        <v>1320000</v>
      </c>
      <c r="BJ176" s="50">
        <v>-0.17499484371777324</v>
      </c>
      <c r="BK176" s="50">
        <v>110000</v>
      </c>
      <c r="BL176" s="50">
        <v>1524000</v>
      </c>
      <c r="BM176" s="50">
        <v>-4.7494046837792736E-2</v>
      </c>
      <c r="BN176" s="50">
        <v>1524000</v>
      </c>
      <c r="BO176" s="50">
        <v>-4.7494046837792736E-2</v>
      </c>
      <c r="BP176" s="50">
        <v>127000</v>
      </c>
      <c r="BQ176" s="50">
        <v>1599990</v>
      </c>
      <c r="BR176" s="50" t="s">
        <v>747</v>
      </c>
      <c r="BS176" s="50" t="s">
        <v>748</v>
      </c>
    </row>
    <row r="177" spans="1:71" ht="15.75" customHeight="1" x14ac:dyDescent="0.2">
      <c r="A177" s="25" t="s">
        <v>842</v>
      </c>
      <c r="B177" s="26" t="s">
        <v>843</v>
      </c>
      <c r="C177" s="27" t="s">
        <v>401</v>
      </c>
      <c r="D177" s="50">
        <v>948000</v>
      </c>
      <c r="E177" s="30">
        <f>+(D177-$P177)/$P177</f>
        <v>-0.20999341661180509</v>
      </c>
      <c r="F177" s="50">
        <f t="shared" ref="F177:F204" si="20">D177/24</f>
        <v>39500</v>
      </c>
      <c r="G177" s="50">
        <v>948000</v>
      </c>
      <c r="H177" s="30">
        <f>+(G177-$P177)/$P177</f>
        <v>-0.20999341661180509</v>
      </c>
      <c r="I177" s="50">
        <f t="shared" ref="I177:I204" si="21">G177/24</f>
        <v>39500</v>
      </c>
      <c r="J177" s="50">
        <v>948000</v>
      </c>
      <c r="K177" s="30">
        <f>+(J177-$P177)/$P177</f>
        <v>-0.20999341661180509</v>
      </c>
      <c r="L177" s="50">
        <f t="shared" ref="L177:L204" si="22">J177/12</f>
        <v>79000</v>
      </c>
      <c r="M177" s="50">
        <v>1068000</v>
      </c>
      <c r="N177" s="30">
        <f t="shared" ref="N177:N204" si="23">+(M177-$P177)/$P177</f>
        <v>-0.10999258327152726</v>
      </c>
      <c r="O177" s="50">
        <f t="shared" ref="O177:O204" si="24">M177/12</f>
        <v>89000</v>
      </c>
      <c r="P177" s="50">
        <v>1199990</v>
      </c>
      <c r="Q177" t="s">
        <v>867</v>
      </c>
      <c r="R177" t="e">
        <f>VLOOKUP(B177,#REF!,1,0)</f>
        <v>#REF!</v>
      </c>
      <c r="S177" s="50">
        <v>0</v>
      </c>
      <c r="T177" s="50">
        <v>0</v>
      </c>
      <c r="U177" s="50">
        <v>0</v>
      </c>
      <c r="V177" s="50">
        <v>0</v>
      </c>
      <c r="W177" s="50">
        <v>0</v>
      </c>
      <c r="X177" s="50">
        <v>0</v>
      </c>
      <c r="Y177" s="50">
        <v>0</v>
      </c>
      <c r="Z177" s="50">
        <v>0</v>
      </c>
      <c r="AA177" s="50">
        <v>0</v>
      </c>
      <c r="AB177" s="50">
        <v>-36000</v>
      </c>
      <c r="AC177" s="50">
        <v>-3.000025000208334E-2</v>
      </c>
      <c r="AD177" s="50">
        <v>-1500</v>
      </c>
      <c r="AE177" s="50">
        <v>-36000</v>
      </c>
      <c r="AF177" s="50">
        <v>-3.000025000208334E-2</v>
      </c>
      <c r="AG177" s="50">
        <v>-1500</v>
      </c>
      <c r="AH177" s="50">
        <v>-36000</v>
      </c>
      <c r="AI177" s="50">
        <v>-3.000025000208334E-2</v>
      </c>
      <c r="AJ177" s="50">
        <v>-3000</v>
      </c>
      <c r="AK177" s="50">
        <v>-60000</v>
      </c>
      <c r="AL177" s="50">
        <v>-5.0000416670138922E-2</v>
      </c>
      <c r="AM177" s="50">
        <v>-60000</v>
      </c>
      <c r="AN177" s="50">
        <v>-5.0000416670138922E-2</v>
      </c>
      <c r="AO177" s="50">
        <v>-5000</v>
      </c>
      <c r="AP177" s="50">
        <v>0</v>
      </c>
      <c r="AQ177" s="50">
        <v>0</v>
      </c>
      <c r="AR177" s="50">
        <v>0</v>
      </c>
      <c r="AT177" s="50">
        <v>729990</v>
      </c>
      <c r="AU177" s="50">
        <v>40400</v>
      </c>
      <c r="AV177" s="50">
        <v>1457190</v>
      </c>
      <c r="AW177" s="50">
        <v>629990</v>
      </c>
      <c r="AX177" s="50">
        <v>40400</v>
      </c>
      <c r="AY177" s="50">
        <v>1357190</v>
      </c>
      <c r="AZ177" s="50">
        <v>629990</v>
      </c>
      <c r="BA177" s="50">
        <v>40400</v>
      </c>
      <c r="BB177" s="50">
        <v>1357190</v>
      </c>
      <c r="BC177" s="50">
        <v>984000</v>
      </c>
      <c r="BD177" s="50">
        <v>-0.17999316660972176</v>
      </c>
      <c r="BE177" s="50">
        <v>41000</v>
      </c>
      <c r="BF177" s="50">
        <v>984000</v>
      </c>
      <c r="BG177" s="50">
        <v>-0.17999316660972176</v>
      </c>
      <c r="BH177" s="50">
        <v>41000</v>
      </c>
      <c r="BI177" s="50">
        <v>984000</v>
      </c>
      <c r="BJ177" s="50">
        <v>-0.17999316660972176</v>
      </c>
      <c r="BK177" s="50">
        <v>82000</v>
      </c>
      <c r="BL177" s="50">
        <v>1128000</v>
      </c>
      <c r="BM177" s="50">
        <v>-5.9992166601388341E-2</v>
      </c>
      <c r="BN177" s="50">
        <v>1128000</v>
      </c>
      <c r="BO177" s="50">
        <v>-5.9992166601388341E-2</v>
      </c>
      <c r="BP177" s="50">
        <v>94000</v>
      </c>
      <c r="BQ177" s="50">
        <v>1199990</v>
      </c>
      <c r="BR177" s="50" t="s">
        <v>747</v>
      </c>
      <c r="BS177" s="50" t="s">
        <v>748</v>
      </c>
    </row>
    <row r="178" spans="1:71" ht="15.75" customHeight="1" x14ac:dyDescent="0.2">
      <c r="A178" s="25" t="s">
        <v>844</v>
      </c>
      <c r="B178" s="26" t="s">
        <v>845</v>
      </c>
      <c r="C178" s="27" t="s">
        <v>401</v>
      </c>
      <c r="D178" s="50">
        <v>948000</v>
      </c>
      <c r="E178" s="30">
        <f>+(D178-$P178)/$P178</f>
        <v>-0.20999341661180509</v>
      </c>
      <c r="F178" s="50">
        <f t="shared" si="20"/>
        <v>39500</v>
      </c>
      <c r="G178" s="50">
        <v>948000</v>
      </c>
      <c r="H178" s="30">
        <f>+(G178-$P178)/$P178</f>
        <v>-0.20999341661180509</v>
      </c>
      <c r="I178" s="50">
        <f t="shared" si="21"/>
        <v>39500</v>
      </c>
      <c r="J178" s="50">
        <v>948000</v>
      </c>
      <c r="K178" s="30">
        <f>+(J178-$P178)/$P178</f>
        <v>-0.20999341661180509</v>
      </c>
      <c r="L178" s="50">
        <f t="shared" si="22"/>
        <v>79000</v>
      </c>
      <c r="M178" s="50">
        <v>1068000</v>
      </c>
      <c r="N178" s="30">
        <f t="shared" si="23"/>
        <v>-0.10999258327152726</v>
      </c>
      <c r="O178" s="50">
        <f t="shared" si="24"/>
        <v>89000</v>
      </c>
      <c r="P178" s="50">
        <v>1199990</v>
      </c>
      <c r="Q178" t="s">
        <v>867</v>
      </c>
      <c r="R178" t="e">
        <f>VLOOKUP(B178,#REF!,1,0)</f>
        <v>#REF!</v>
      </c>
      <c r="S178" s="50">
        <v>0</v>
      </c>
      <c r="T178" s="50">
        <v>0</v>
      </c>
      <c r="U178" s="50">
        <v>0</v>
      </c>
      <c r="V178" s="50">
        <v>0</v>
      </c>
      <c r="W178" s="50">
        <v>0</v>
      </c>
      <c r="X178" s="50">
        <v>0</v>
      </c>
      <c r="Y178" s="50">
        <v>0</v>
      </c>
      <c r="Z178" s="50">
        <v>0</v>
      </c>
      <c r="AA178" s="50">
        <v>0</v>
      </c>
      <c r="AB178" s="50">
        <v>-36000</v>
      </c>
      <c r="AC178" s="50">
        <v>-3.000025000208334E-2</v>
      </c>
      <c r="AD178" s="50">
        <v>-1500</v>
      </c>
      <c r="AE178" s="50">
        <v>-36000</v>
      </c>
      <c r="AF178" s="50">
        <v>-3.000025000208334E-2</v>
      </c>
      <c r="AG178" s="50">
        <v>-1500</v>
      </c>
      <c r="AH178" s="50">
        <v>-36000</v>
      </c>
      <c r="AI178" s="50">
        <v>-3.000025000208334E-2</v>
      </c>
      <c r="AJ178" s="50">
        <v>-3000</v>
      </c>
      <c r="AK178" s="50">
        <v>-60000</v>
      </c>
      <c r="AL178" s="50">
        <v>-5.0000416670138922E-2</v>
      </c>
      <c r="AM178" s="50">
        <v>-60000</v>
      </c>
      <c r="AN178" s="50">
        <v>-5.0000416670138922E-2</v>
      </c>
      <c r="AO178" s="50">
        <v>-5000</v>
      </c>
      <c r="AP178" s="50">
        <v>0</v>
      </c>
      <c r="AQ178" s="50">
        <v>0</v>
      </c>
      <c r="AR178" s="50">
        <v>0</v>
      </c>
      <c r="AT178" s="50">
        <v>729990</v>
      </c>
      <c r="AU178" s="50">
        <v>40400</v>
      </c>
      <c r="AV178" s="50">
        <v>1457190</v>
      </c>
      <c r="AW178" s="50">
        <v>629990</v>
      </c>
      <c r="AX178" s="50">
        <v>40400</v>
      </c>
      <c r="AY178" s="50">
        <v>1357190</v>
      </c>
      <c r="AZ178" s="50">
        <v>629990</v>
      </c>
      <c r="BA178" s="50">
        <v>40400</v>
      </c>
      <c r="BB178" s="50">
        <v>1357190</v>
      </c>
      <c r="BC178" s="50">
        <v>984000</v>
      </c>
      <c r="BD178" s="50">
        <v>-0.17999316660972176</v>
      </c>
      <c r="BE178" s="50">
        <v>41000</v>
      </c>
      <c r="BF178" s="50">
        <v>984000</v>
      </c>
      <c r="BG178" s="50">
        <v>-0.17999316660972176</v>
      </c>
      <c r="BH178" s="50">
        <v>41000</v>
      </c>
      <c r="BI178" s="50">
        <v>984000</v>
      </c>
      <c r="BJ178" s="50">
        <v>-0.17999316660972176</v>
      </c>
      <c r="BK178" s="50">
        <v>82000</v>
      </c>
      <c r="BL178" s="50">
        <v>1128000</v>
      </c>
      <c r="BM178" s="50">
        <v>-5.9992166601388341E-2</v>
      </c>
      <c r="BN178" s="50">
        <v>1128000</v>
      </c>
      <c r="BO178" s="50">
        <v>-5.9992166601388341E-2</v>
      </c>
      <c r="BP178" s="50">
        <v>94000</v>
      </c>
      <c r="BQ178" s="50">
        <v>1199990</v>
      </c>
      <c r="BR178" s="50" t="s">
        <v>747</v>
      </c>
      <c r="BS178" s="50" t="s">
        <v>748</v>
      </c>
    </row>
    <row r="179" spans="1:71" ht="15.75" customHeight="1" x14ac:dyDescent="0.2">
      <c r="A179" s="25" t="s">
        <v>884</v>
      </c>
      <c r="B179" s="26" t="s">
        <v>904</v>
      </c>
      <c r="C179" s="27" t="s">
        <v>401</v>
      </c>
      <c r="D179" s="50">
        <v>268800</v>
      </c>
      <c r="E179" s="30">
        <f>+(D179-$P179)/$P179</f>
        <v>-0.18542986151095489</v>
      </c>
      <c r="F179" s="50">
        <f t="shared" si="20"/>
        <v>11200</v>
      </c>
      <c r="G179" s="50">
        <v>268800</v>
      </c>
      <c r="H179" s="30">
        <f>+(G179-$P179)/$P179</f>
        <v>-0.18542986151095489</v>
      </c>
      <c r="I179" s="50">
        <f t="shared" si="21"/>
        <v>11200</v>
      </c>
      <c r="J179" s="50">
        <v>268800</v>
      </c>
      <c r="K179" s="30">
        <f>+(J179-$P179)/$P179</f>
        <v>-0.18542986151095489</v>
      </c>
      <c r="L179" s="50">
        <f t="shared" si="22"/>
        <v>22400</v>
      </c>
      <c r="M179" s="50">
        <v>304800</v>
      </c>
      <c r="N179" s="30">
        <f t="shared" si="23"/>
        <v>-7.6335646534743479E-2</v>
      </c>
      <c r="O179" s="50">
        <f t="shared" si="24"/>
        <v>25400</v>
      </c>
      <c r="P179" s="50">
        <v>329990</v>
      </c>
      <c r="Q179" t="s">
        <v>868</v>
      </c>
      <c r="R179" t="e">
        <f>VLOOKUP(B179,#REF!,1,0)</f>
        <v>#REF!</v>
      </c>
      <c r="S179" s="50">
        <v>-20000</v>
      </c>
      <c r="T179" s="50">
        <v>1100</v>
      </c>
      <c r="U179" s="50">
        <v>-200</v>
      </c>
      <c r="V179" s="50">
        <v>-20000</v>
      </c>
      <c r="W179" s="50">
        <v>1100</v>
      </c>
      <c r="X179" s="50">
        <v>-200</v>
      </c>
      <c r="Y179" s="50">
        <v>-20000</v>
      </c>
      <c r="Z179" s="50">
        <v>1100</v>
      </c>
      <c r="AA179" s="50">
        <v>-200</v>
      </c>
      <c r="AB179" s="50">
        <v>-24000</v>
      </c>
      <c r="AC179" s="50">
        <v>-7.2729476650807617E-2</v>
      </c>
      <c r="AD179" s="50">
        <v>-1000</v>
      </c>
      <c r="AE179" s="50">
        <v>-24000</v>
      </c>
      <c r="AF179" s="50">
        <v>-7.2729476650807617E-2</v>
      </c>
      <c r="AG179" s="50">
        <v>-1000</v>
      </c>
      <c r="AH179" s="50">
        <v>-24000</v>
      </c>
      <c r="AI179" s="50">
        <v>-7.2729476650807617E-2</v>
      </c>
      <c r="AJ179" s="50">
        <v>-2000</v>
      </c>
      <c r="AK179" s="50">
        <v>-12000</v>
      </c>
      <c r="AL179" s="50">
        <v>-3.6364738325403802E-2</v>
      </c>
      <c r="AM179" s="50">
        <v>-12000</v>
      </c>
      <c r="AN179" s="50">
        <v>-3.6364738325403802E-2</v>
      </c>
      <c r="AO179" s="50">
        <v>-1000</v>
      </c>
      <c r="AP179" s="50">
        <v>0</v>
      </c>
      <c r="AQ179" s="50">
        <v>0</v>
      </c>
      <c r="AR179" s="50">
        <v>0</v>
      </c>
      <c r="AT179" s="50">
        <v>129990</v>
      </c>
      <c r="AU179" s="50">
        <v>14700</v>
      </c>
      <c r="AV179" s="50">
        <v>394590</v>
      </c>
      <c r="AW179" s="50">
        <v>129990</v>
      </c>
      <c r="AX179" s="50">
        <v>14700</v>
      </c>
      <c r="AY179" s="50">
        <v>394590</v>
      </c>
      <c r="AZ179" s="50">
        <v>129990</v>
      </c>
      <c r="BA179" s="50">
        <v>14700</v>
      </c>
      <c r="BB179" s="50">
        <v>394590</v>
      </c>
      <c r="BC179" s="50">
        <v>292800</v>
      </c>
      <c r="BD179" s="50">
        <v>-0.11270038486014727</v>
      </c>
      <c r="BE179" s="50">
        <v>12200</v>
      </c>
      <c r="BF179" s="50">
        <v>292800</v>
      </c>
      <c r="BG179" s="50">
        <v>-0.11270038486014727</v>
      </c>
      <c r="BH179" s="50">
        <v>12200</v>
      </c>
      <c r="BI179" s="50">
        <v>292800</v>
      </c>
      <c r="BJ179" s="50">
        <v>-0.11270038486014727</v>
      </c>
      <c r="BK179" s="50">
        <v>24400</v>
      </c>
      <c r="BL179" s="50">
        <v>316800</v>
      </c>
      <c r="BM179" s="50">
        <v>-3.9970908209339677E-2</v>
      </c>
      <c r="BN179" s="50">
        <v>316800</v>
      </c>
      <c r="BO179" s="50">
        <v>-3.9970908209339677E-2</v>
      </c>
      <c r="BP179" s="50">
        <v>26400</v>
      </c>
      <c r="BQ179" s="50">
        <v>329990</v>
      </c>
      <c r="BR179" s="50" t="s">
        <v>988</v>
      </c>
      <c r="BS179" s="50" t="s">
        <v>989</v>
      </c>
    </row>
    <row r="180" spans="1:71" ht="15.75" customHeight="1" x14ac:dyDescent="0.2">
      <c r="A180" s="25" t="s">
        <v>885</v>
      </c>
      <c r="B180" s="26" t="s">
        <v>905</v>
      </c>
      <c r="C180" s="27" t="s">
        <v>401</v>
      </c>
      <c r="D180" s="50">
        <v>268800</v>
      </c>
      <c r="E180" s="30">
        <f>+(D180-$P180)/$P180</f>
        <v>-0.18542986151095489</v>
      </c>
      <c r="F180" s="50">
        <f t="shared" si="20"/>
        <v>11200</v>
      </c>
      <c r="G180" s="50">
        <v>268800</v>
      </c>
      <c r="H180" s="30">
        <f>+(G180-$P180)/$P180</f>
        <v>-0.18542986151095489</v>
      </c>
      <c r="I180" s="50">
        <f t="shared" si="21"/>
        <v>11200</v>
      </c>
      <c r="J180" s="50">
        <v>268800</v>
      </c>
      <c r="K180" s="30">
        <f>+(J180-$P180)/$P180</f>
        <v>-0.18542986151095489</v>
      </c>
      <c r="L180" s="50">
        <f t="shared" si="22"/>
        <v>22400</v>
      </c>
      <c r="M180" s="50">
        <v>304800</v>
      </c>
      <c r="N180" s="30">
        <f t="shared" si="23"/>
        <v>-7.6335646534743479E-2</v>
      </c>
      <c r="O180" s="50">
        <f t="shared" si="24"/>
        <v>25400</v>
      </c>
      <c r="P180" s="50">
        <v>329990</v>
      </c>
      <c r="Q180" t="s">
        <v>868</v>
      </c>
      <c r="R180" t="e">
        <f>VLOOKUP(B180,#REF!,1,0)</f>
        <v>#REF!</v>
      </c>
      <c r="S180" s="50">
        <v>-20000</v>
      </c>
      <c r="T180" s="50">
        <v>1100</v>
      </c>
      <c r="U180" s="50">
        <v>-200</v>
      </c>
      <c r="V180" s="50">
        <v>-20000</v>
      </c>
      <c r="W180" s="50">
        <v>1100</v>
      </c>
      <c r="X180" s="50">
        <v>-200</v>
      </c>
      <c r="Y180" s="50">
        <v>-20000</v>
      </c>
      <c r="Z180" s="50">
        <v>1100</v>
      </c>
      <c r="AA180" s="50">
        <v>-200</v>
      </c>
      <c r="AB180" s="50">
        <v>-24000</v>
      </c>
      <c r="AC180" s="50">
        <v>-7.2729476650807617E-2</v>
      </c>
      <c r="AD180" s="50">
        <v>-1000</v>
      </c>
      <c r="AE180" s="50">
        <v>-24000</v>
      </c>
      <c r="AF180" s="50">
        <v>-7.2729476650807617E-2</v>
      </c>
      <c r="AG180" s="50">
        <v>-1000</v>
      </c>
      <c r="AH180" s="50">
        <v>-24000</v>
      </c>
      <c r="AI180" s="50">
        <v>-7.2729476650807617E-2</v>
      </c>
      <c r="AJ180" s="50">
        <v>-2000</v>
      </c>
      <c r="AK180" s="50">
        <v>-12000</v>
      </c>
      <c r="AL180" s="50">
        <v>-3.6364738325403802E-2</v>
      </c>
      <c r="AM180" s="50">
        <v>-12000</v>
      </c>
      <c r="AN180" s="50">
        <v>-3.6364738325403802E-2</v>
      </c>
      <c r="AO180" s="50">
        <v>-1000</v>
      </c>
      <c r="AP180" s="50">
        <v>0</v>
      </c>
      <c r="AQ180" s="50">
        <v>0</v>
      </c>
      <c r="AR180" s="50">
        <v>0</v>
      </c>
      <c r="AT180" s="50">
        <v>129990</v>
      </c>
      <c r="AU180" s="50">
        <v>14700</v>
      </c>
      <c r="AV180" s="50">
        <v>394590</v>
      </c>
      <c r="AW180" s="50">
        <v>129990</v>
      </c>
      <c r="AX180" s="50">
        <v>14700</v>
      </c>
      <c r="AY180" s="50">
        <v>394590</v>
      </c>
      <c r="AZ180" s="50">
        <v>129990</v>
      </c>
      <c r="BA180" s="50">
        <v>14700</v>
      </c>
      <c r="BB180" s="50">
        <v>394590</v>
      </c>
      <c r="BC180" s="50">
        <v>292800</v>
      </c>
      <c r="BD180" s="50">
        <v>-0.11270038486014727</v>
      </c>
      <c r="BE180" s="50">
        <v>12200</v>
      </c>
      <c r="BF180" s="50">
        <v>292800</v>
      </c>
      <c r="BG180" s="50">
        <v>-0.11270038486014727</v>
      </c>
      <c r="BH180" s="50">
        <v>12200</v>
      </c>
      <c r="BI180" s="50">
        <v>292800</v>
      </c>
      <c r="BJ180" s="50">
        <v>-0.11270038486014727</v>
      </c>
      <c r="BK180" s="50">
        <v>24400</v>
      </c>
      <c r="BL180" s="50">
        <v>316800</v>
      </c>
      <c r="BM180" s="50">
        <v>-3.9970908209339677E-2</v>
      </c>
      <c r="BN180" s="50">
        <v>316800</v>
      </c>
      <c r="BO180" s="50">
        <v>-3.9970908209339677E-2</v>
      </c>
      <c r="BP180" s="50">
        <v>26400</v>
      </c>
      <c r="BQ180" s="50">
        <v>329990</v>
      </c>
      <c r="BR180" s="50" t="s">
        <v>988</v>
      </c>
      <c r="BS180" s="50" t="s">
        <v>989</v>
      </c>
    </row>
    <row r="181" spans="1:71" ht="15.75" customHeight="1" x14ac:dyDescent="0.2">
      <c r="A181" s="25" t="s">
        <v>886</v>
      </c>
      <c r="B181" s="26" t="s">
        <v>906</v>
      </c>
      <c r="C181" s="27" t="s">
        <v>401</v>
      </c>
      <c r="D181" s="50">
        <v>98400</v>
      </c>
      <c r="E181" s="30">
        <f>+(D181-$P181)/$P181</f>
        <v>-0.32133250569004757</v>
      </c>
      <c r="F181" s="50">
        <f t="shared" si="20"/>
        <v>4100</v>
      </c>
      <c r="G181" s="50">
        <v>98400</v>
      </c>
      <c r="H181" s="30">
        <f>+(G181-$P181)/$P181</f>
        <v>-0.32133250569004757</v>
      </c>
      <c r="I181" s="50">
        <f t="shared" si="21"/>
        <v>4100</v>
      </c>
      <c r="J181" s="50">
        <v>98400</v>
      </c>
      <c r="K181" s="30">
        <f>+(J181-$P181)/$P181</f>
        <v>-0.32133250569004757</v>
      </c>
      <c r="L181" s="50">
        <f t="shared" si="22"/>
        <v>8200</v>
      </c>
      <c r="M181" s="50">
        <v>110400</v>
      </c>
      <c r="N181" s="30">
        <f t="shared" si="23"/>
        <v>-0.23856817711566314</v>
      </c>
      <c r="O181" s="50">
        <f t="shared" si="24"/>
        <v>9200</v>
      </c>
      <c r="P181" s="50">
        <v>144990</v>
      </c>
      <c r="Q181" t="s">
        <v>869</v>
      </c>
      <c r="R181" t="e">
        <f>VLOOKUP(B181,#REF!,1,0)</f>
        <v>#REF!</v>
      </c>
      <c r="S181" s="50">
        <v>0</v>
      </c>
      <c r="T181" s="50">
        <v>0</v>
      </c>
      <c r="U181" s="50">
        <v>0</v>
      </c>
      <c r="V181" s="50">
        <v>0</v>
      </c>
      <c r="W181" s="50">
        <v>0</v>
      </c>
      <c r="X181" s="50">
        <v>0</v>
      </c>
      <c r="Y181" s="50">
        <v>0</v>
      </c>
      <c r="Z181" s="50">
        <v>0</v>
      </c>
      <c r="AA181" s="50">
        <v>0</v>
      </c>
      <c r="AB181" s="50">
        <v>0</v>
      </c>
      <c r="AC181" s="50">
        <v>0</v>
      </c>
      <c r="AD181" s="50">
        <v>0</v>
      </c>
      <c r="AE181" s="50">
        <v>0</v>
      </c>
      <c r="AF181" s="50">
        <v>0</v>
      </c>
      <c r="AG181" s="50">
        <v>0</v>
      </c>
      <c r="AH181" s="50">
        <v>0</v>
      </c>
      <c r="AI181" s="50">
        <v>0</v>
      </c>
      <c r="AJ181" s="50">
        <v>0</v>
      </c>
      <c r="AK181" s="50">
        <v>0</v>
      </c>
      <c r="AL181" s="50">
        <v>0</v>
      </c>
      <c r="AM181" s="50">
        <v>0</v>
      </c>
      <c r="AN181" s="50">
        <v>0</v>
      </c>
      <c r="AO181" s="50">
        <v>0</v>
      </c>
      <c r="AP181" s="50">
        <v>0</v>
      </c>
      <c r="AQ181" s="50">
        <v>0</v>
      </c>
      <c r="AR181" s="50">
        <v>0</v>
      </c>
      <c r="AT181" s="50">
        <v>29990</v>
      </c>
      <c r="AU181" s="50">
        <v>8300</v>
      </c>
      <c r="AV181" s="50">
        <v>179390</v>
      </c>
      <c r="AW181" s="50">
        <v>29990</v>
      </c>
      <c r="AX181" s="50">
        <v>8300</v>
      </c>
      <c r="AY181" s="50">
        <v>179390</v>
      </c>
      <c r="AZ181" s="50">
        <v>29990</v>
      </c>
      <c r="BA181" s="50">
        <v>8300</v>
      </c>
      <c r="BB181" s="50">
        <v>179390</v>
      </c>
      <c r="BC181" s="50">
        <v>98400</v>
      </c>
      <c r="BD181" s="50">
        <v>-0.32133250569004757</v>
      </c>
      <c r="BE181" s="50">
        <v>4100</v>
      </c>
      <c r="BF181" s="50">
        <v>98400</v>
      </c>
      <c r="BG181" s="50">
        <v>-0.32133250569004757</v>
      </c>
      <c r="BH181" s="50">
        <v>4100</v>
      </c>
      <c r="BI181" s="50">
        <v>98400</v>
      </c>
      <c r="BJ181" s="50">
        <v>-0.32133250569004757</v>
      </c>
      <c r="BK181" s="50">
        <v>8200</v>
      </c>
      <c r="BL181" s="50">
        <v>110400</v>
      </c>
      <c r="BM181" s="50">
        <v>-0.23856817711566314</v>
      </c>
      <c r="BN181" s="50">
        <v>110400</v>
      </c>
      <c r="BO181" s="50">
        <v>-0.23856817711566314</v>
      </c>
      <c r="BP181" s="50">
        <v>9200</v>
      </c>
      <c r="BQ181" s="50">
        <v>144990</v>
      </c>
      <c r="BR181" s="50" t="s">
        <v>986</v>
      </c>
      <c r="BS181" s="50" t="s">
        <v>987</v>
      </c>
    </row>
    <row r="182" spans="1:71" ht="15.75" customHeight="1" x14ac:dyDescent="0.2">
      <c r="A182" s="25" t="s">
        <v>887</v>
      </c>
      <c r="B182" s="26" t="s">
        <v>907</v>
      </c>
      <c r="C182" s="27" t="s">
        <v>401</v>
      </c>
      <c r="D182" s="50">
        <v>153600</v>
      </c>
      <c r="E182" s="30">
        <f>+(D182-$P182)/$P182</f>
        <v>-0.26853659698080862</v>
      </c>
      <c r="F182" s="50">
        <f t="shared" si="20"/>
        <v>6400</v>
      </c>
      <c r="G182" s="50">
        <v>153600</v>
      </c>
      <c r="H182" s="30">
        <f>+(G182-$P182)/$P182</f>
        <v>-0.26853659698080862</v>
      </c>
      <c r="I182" s="50">
        <f t="shared" si="21"/>
        <v>6400</v>
      </c>
      <c r="J182" s="50">
        <v>153600</v>
      </c>
      <c r="K182" s="30">
        <f>+(J182-$P182)/$P182</f>
        <v>-0.26853659698080862</v>
      </c>
      <c r="L182" s="50">
        <f t="shared" si="22"/>
        <v>12800</v>
      </c>
      <c r="M182" s="50">
        <v>177600</v>
      </c>
      <c r="N182" s="30">
        <f t="shared" si="23"/>
        <v>-0.15424544025905995</v>
      </c>
      <c r="O182" s="50">
        <f t="shared" si="24"/>
        <v>14800</v>
      </c>
      <c r="P182" s="50">
        <v>209990</v>
      </c>
      <c r="Q182" t="s">
        <v>870</v>
      </c>
      <c r="R182" t="e">
        <f>VLOOKUP(B182,#REF!,1,0)</f>
        <v>#REF!</v>
      </c>
      <c r="S182" s="50">
        <v>0</v>
      </c>
      <c r="T182" s="50">
        <v>-900</v>
      </c>
      <c r="U182" s="50">
        <v>-16200</v>
      </c>
      <c r="V182" s="50">
        <v>0</v>
      </c>
      <c r="W182" s="50">
        <v>-900</v>
      </c>
      <c r="X182" s="50">
        <v>-16200</v>
      </c>
      <c r="Y182" s="50">
        <v>0</v>
      </c>
      <c r="Z182" s="50">
        <v>-900</v>
      </c>
      <c r="AA182" s="50">
        <v>-16200</v>
      </c>
      <c r="AB182" s="50">
        <v>-24000</v>
      </c>
      <c r="AC182" s="50">
        <v>-0.11429115672174867</v>
      </c>
      <c r="AD182" s="50">
        <v>-1000</v>
      </c>
      <c r="AE182" s="50">
        <v>-24000</v>
      </c>
      <c r="AF182" s="50">
        <v>-0.11429115672174867</v>
      </c>
      <c r="AG182" s="50">
        <v>-1000</v>
      </c>
      <c r="AH182" s="50">
        <v>-24000</v>
      </c>
      <c r="AI182" s="50">
        <v>-0.11429115672174867</v>
      </c>
      <c r="AJ182" s="50">
        <v>-2000</v>
      </c>
      <c r="AK182" s="50">
        <v>-24000</v>
      </c>
      <c r="AL182" s="50">
        <v>-0.11429115672174865</v>
      </c>
      <c r="AM182" s="50">
        <v>-24000</v>
      </c>
      <c r="AN182" s="50">
        <v>-0.11429115672174865</v>
      </c>
      <c r="AO182" s="50">
        <v>-2000</v>
      </c>
      <c r="AP182" s="50">
        <v>0</v>
      </c>
      <c r="AQ182" s="50">
        <v>0</v>
      </c>
      <c r="AR182" s="50">
        <v>0</v>
      </c>
      <c r="AT182" s="50">
        <v>59990</v>
      </c>
      <c r="AU182" s="50">
        <v>11300</v>
      </c>
      <c r="AV182" s="50">
        <v>263390</v>
      </c>
      <c r="AW182" s="50">
        <v>59990</v>
      </c>
      <c r="AX182" s="50">
        <v>11300</v>
      </c>
      <c r="AY182" s="50">
        <v>263390</v>
      </c>
      <c r="AZ182" s="50">
        <v>59990</v>
      </c>
      <c r="BA182" s="50">
        <v>11300</v>
      </c>
      <c r="BB182" s="50">
        <v>263390</v>
      </c>
      <c r="BC182" s="50">
        <v>177600</v>
      </c>
      <c r="BD182" s="50">
        <v>-0.15424544025905995</v>
      </c>
      <c r="BE182" s="50">
        <v>7400</v>
      </c>
      <c r="BF182" s="50">
        <v>177600</v>
      </c>
      <c r="BG182" s="50">
        <v>-0.15424544025905995</v>
      </c>
      <c r="BH182" s="50">
        <v>7400</v>
      </c>
      <c r="BI182" s="50">
        <v>177600</v>
      </c>
      <c r="BJ182" s="50">
        <v>-0.15424544025905995</v>
      </c>
      <c r="BK182" s="50">
        <v>14800</v>
      </c>
      <c r="BL182" s="50">
        <v>201600</v>
      </c>
      <c r="BM182" s="50">
        <v>-3.99542835373113E-2</v>
      </c>
      <c r="BN182" s="50">
        <v>201600</v>
      </c>
      <c r="BO182" s="50">
        <v>-3.99542835373113E-2</v>
      </c>
      <c r="BP182" s="50">
        <v>16800</v>
      </c>
      <c r="BQ182" s="50">
        <v>209990</v>
      </c>
      <c r="BR182" s="50" t="s">
        <v>987</v>
      </c>
      <c r="BS182" s="50" t="s">
        <v>988</v>
      </c>
    </row>
    <row r="183" spans="1:71" ht="15.75" customHeight="1" x14ac:dyDescent="0.2">
      <c r="A183" s="25" t="s">
        <v>888</v>
      </c>
      <c r="B183" s="26" t="s">
        <v>908</v>
      </c>
      <c r="C183" s="27" t="s">
        <v>401</v>
      </c>
      <c r="D183" s="50">
        <v>355200</v>
      </c>
      <c r="E183" s="30">
        <f>+(D183-$P183)/$P183</f>
        <v>-0.28958579171583432</v>
      </c>
      <c r="F183" s="50">
        <f t="shared" si="20"/>
        <v>14800</v>
      </c>
      <c r="G183" s="50">
        <v>355200</v>
      </c>
      <c r="H183" s="30">
        <f>+(G183-$P183)/$P183</f>
        <v>-0.28958579171583432</v>
      </c>
      <c r="I183" s="50">
        <f t="shared" si="21"/>
        <v>14800</v>
      </c>
      <c r="J183" s="50">
        <v>355200</v>
      </c>
      <c r="K183" s="30">
        <f>+(J183-$P183)/$P183</f>
        <v>-0.28958579171583432</v>
      </c>
      <c r="L183" s="50">
        <f t="shared" si="22"/>
        <v>29600</v>
      </c>
      <c r="M183" s="50">
        <v>475200</v>
      </c>
      <c r="N183" s="30">
        <f t="shared" si="23"/>
        <v>-4.9580991619832399E-2</v>
      </c>
      <c r="O183" s="50">
        <f t="shared" si="24"/>
        <v>39600</v>
      </c>
      <c r="P183" s="50">
        <v>499990</v>
      </c>
      <c r="Q183" t="s">
        <v>871</v>
      </c>
      <c r="R183" t="e">
        <f>VLOOKUP(B183,#REF!,1,0)</f>
        <v>#REF!</v>
      </c>
      <c r="S183" s="50">
        <v>-10000</v>
      </c>
      <c r="T183" s="50">
        <v>100</v>
      </c>
      <c r="U183" s="50">
        <v>-8200</v>
      </c>
      <c r="V183" s="50">
        <v>-10000</v>
      </c>
      <c r="W183" s="50">
        <v>100</v>
      </c>
      <c r="X183" s="50">
        <v>-8200</v>
      </c>
      <c r="Y183" s="50">
        <v>-10000</v>
      </c>
      <c r="Z183" s="50">
        <v>100</v>
      </c>
      <c r="AA183" s="50">
        <v>-8200</v>
      </c>
      <c r="AB183" s="50">
        <v>-24000</v>
      </c>
      <c r="AC183" s="50">
        <v>-4.8000960019200373E-2</v>
      </c>
      <c r="AD183" s="50">
        <v>-1000</v>
      </c>
      <c r="AE183" s="50">
        <v>-24000</v>
      </c>
      <c r="AF183" s="50">
        <v>-4.8000960019200373E-2</v>
      </c>
      <c r="AG183" s="50">
        <v>-1000</v>
      </c>
      <c r="AH183" s="50">
        <v>-24000</v>
      </c>
      <c r="AI183" s="50">
        <v>-4.8000960019200373E-2</v>
      </c>
      <c r="AJ183" s="50">
        <v>-2000</v>
      </c>
      <c r="AK183" s="50">
        <v>72000</v>
      </c>
      <c r="AL183" s="50">
        <v>0.14400288005760115</v>
      </c>
      <c r="AM183" s="50">
        <v>72000</v>
      </c>
      <c r="AN183" s="50">
        <v>0.14400288005760115</v>
      </c>
      <c r="AO183" s="50">
        <v>6000</v>
      </c>
      <c r="AP183" s="50">
        <v>0</v>
      </c>
      <c r="AQ183" s="50">
        <v>0</v>
      </c>
      <c r="AR183" s="50">
        <v>0</v>
      </c>
      <c r="AT183" s="50">
        <v>209990</v>
      </c>
      <c r="AU183" s="50">
        <v>17500</v>
      </c>
      <c r="AV183" s="50">
        <v>524990</v>
      </c>
      <c r="AW183" s="50">
        <v>209990</v>
      </c>
      <c r="AX183" s="50">
        <v>17500</v>
      </c>
      <c r="AY183" s="50">
        <v>524990</v>
      </c>
      <c r="AZ183" s="50">
        <v>209990</v>
      </c>
      <c r="BA183" s="50">
        <v>17500</v>
      </c>
      <c r="BB183" s="50">
        <v>524990</v>
      </c>
      <c r="BC183" s="50">
        <v>379200</v>
      </c>
      <c r="BD183" s="50">
        <v>-0.24158483169663394</v>
      </c>
      <c r="BE183" s="50">
        <v>15800</v>
      </c>
      <c r="BF183" s="50">
        <v>379200</v>
      </c>
      <c r="BG183" s="50">
        <v>-0.24158483169663394</v>
      </c>
      <c r="BH183" s="50">
        <v>15800</v>
      </c>
      <c r="BI183" s="50">
        <v>379200</v>
      </c>
      <c r="BJ183" s="50">
        <v>-0.24158483169663394</v>
      </c>
      <c r="BK183" s="50">
        <v>31600</v>
      </c>
      <c r="BL183" s="50">
        <v>403200</v>
      </c>
      <c r="BM183" s="50">
        <v>-0.19358387167743354</v>
      </c>
      <c r="BN183" s="50">
        <v>403200</v>
      </c>
      <c r="BO183" s="50">
        <v>-0.19358387167743354</v>
      </c>
      <c r="BP183" s="50">
        <v>33600</v>
      </c>
      <c r="BQ183" s="50">
        <v>499990</v>
      </c>
      <c r="BR183" s="50" t="s">
        <v>745</v>
      </c>
      <c r="BS183" s="50" t="s">
        <v>746</v>
      </c>
    </row>
    <row r="184" spans="1:71" ht="15.75" customHeight="1" x14ac:dyDescent="0.2">
      <c r="A184" s="25" t="s">
        <v>889</v>
      </c>
      <c r="B184" s="26" t="s">
        <v>909</v>
      </c>
      <c r="C184" s="27" t="s">
        <v>401</v>
      </c>
      <c r="D184" s="50">
        <v>429600</v>
      </c>
      <c r="E184" s="30">
        <f>+(D184-$P184)/$P184</f>
        <v>-0.2463025667116967</v>
      </c>
      <c r="F184" s="50">
        <f t="shared" si="20"/>
        <v>17900</v>
      </c>
      <c r="G184" s="50">
        <v>429600</v>
      </c>
      <c r="H184" s="30">
        <f>+(G184-$P184)/$P184</f>
        <v>-0.2463025667116967</v>
      </c>
      <c r="I184" s="50">
        <f t="shared" si="21"/>
        <v>17900</v>
      </c>
      <c r="J184" s="50">
        <v>429600</v>
      </c>
      <c r="K184" s="30">
        <f>+(J184-$P184)/$P184</f>
        <v>-0.2463025667116967</v>
      </c>
      <c r="L184" s="50">
        <f t="shared" si="22"/>
        <v>35800</v>
      </c>
      <c r="M184" s="50">
        <v>549600</v>
      </c>
      <c r="N184" s="30">
        <f t="shared" si="23"/>
        <v>-3.5772557413287949E-2</v>
      </c>
      <c r="O184" s="50">
        <f t="shared" si="24"/>
        <v>45800</v>
      </c>
      <c r="P184" s="50">
        <v>569990</v>
      </c>
      <c r="Q184" t="s">
        <v>872</v>
      </c>
      <c r="R184" t="e">
        <f>VLOOKUP(B184,#REF!,1,0)</f>
        <v>#REF!</v>
      </c>
      <c r="S184" s="50">
        <v>-10000</v>
      </c>
      <c r="T184" s="50">
        <v>-800</v>
      </c>
      <c r="U184" s="50">
        <v>-24400</v>
      </c>
      <c r="V184" s="50">
        <v>-10000</v>
      </c>
      <c r="W184" s="50">
        <v>-800</v>
      </c>
      <c r="X184" s="50">
        <v>-24400</v>
      </c>
      <c r="Y184" s="50">
        <v>-10000</v>
      </c>
      <c r="Z184" s="50">
        <v>-800</v>
      </c>
      <c r="AA184" s="50">
        <v>-24400</v>
      </c>
      <c r="AB184" s="50">
        <v>-19200</v>
      </c>
      <c r="AC184" s="50">
        <v>-3.3684801487745414E-2</v>
      </c>
      <c r="AD184" s="50">
        <v>-800</v>
      </c>
      <c r="AE184" s="50">
        <v>-19200</v>
      </c>
      <c r="AF184" s="50">
        <v>-3.3684801487745414E-2</v>
      </c>
      <c r="AG184" s="50">
        <v>-800</v>
      </c>
      <c r="AH184" s="50">
        <v>-19200</v>
      </c>
      <c r="AI184" s="50">
        <v>-3.3684801487745414E-2</v>
      </c>
      <c r="AJ184" s="50">
        <v>-1600</v>
      </c>
      <c r="AK184" s="50">
        <v>76800</v>
      </c>
      <c r="AL184" s="50">
        <v>0.1347392059509816</v>
      </c>
      <c r="AM184" s="50">
        <v>76800</v>
      </c>
      <c r="AN184" s="50">
        <v>0.1347392059509816</v>
      </c>
      <c r="AO184" s="50">
        <v>6400</v>
      </c>
      <c r="AP184" s="50">
        <v>0</v>
      </c>
      <c r="AQ184" s="50">
        <v>0</v>
      </c>
      <c r="AR184" s="50">
        <v>0</v>
      </c>
      <c r="AT184" s="50">
        <v>249990</v>
      </c>
      <c r="AU184" s="50">
        <v>21900</v>
      </c>
      <c r="AV184" s="50">
        <v>644190</v>
      </c>
      <c r="AW184" s="50">
        <v>249990</v>
      </c>
      <c r="AX184" s="50">
        <v>21900</v>
      </c>
      <c r="AY184" s="50">
        <v>644190</v>
      </c>
      <c r="AZ184" s="50">
        <v>249990</v>
      </c>
      <c r="BA184" s="50">
        <v>21900</v>
      </c>
      <c r="BB184" s="50">
        <v>644190</v>
      </c>
      <c r="BC184" s="50">
        <v>448800</v>
      </c>
      <c r="BD184" s="50">
        <v>-0.21261776522395129</v>
      </c>
      <c r="BE184" s="50">
        <v>18700</v>
      </c>
      <c r="BF184" s="50">
        <v>448800</v>
      </c>
      <c r="BG184" s="50">
        <v>-0.21261776522395129</v>
      </c>
      <c r="BH184" s="50">
        <v>18700</v>
      </c>
      <c r="BI184" s="50">
        <v>448800</v>
      </c>
      <c r="BJ184" s="50">
        <v>-0.21261776522395129</v>
      </c>
      <c r="BK184" s="50">
        <v>37400</v>
      </c>
      <c r="BL184" s="50">
        <v>472800</v>
      </c>
      <c r="BM184" s="50">
        <v>-0.17051176336426954</v>
      </c>
      <c r="BN184" s="50">
        <v>472800</v>
      </c>
      <c r="BO184" s="50">
        <v>-0.17051176336426954</v>
      </c>
      <c r="BP184" s="50">
        <v>39400</v>
      </c>
      <c r="BQ184" s="50">
        <v>569990</v>
      </c>
      <c r="BR184" s="50" t="s">
        <v>747</v>
      </c>
      <c r="BS184" s="50" t="s">
        <v>748</v>
      </c>
    </row>
    <row r="185" spans="1:71" ht="15.75" customHeight="1" x14ac:dyDescent="0.2">
      <c r="A185" s="25" t="s">
        <v>890</v>
      </c>
      <c r="B185" s="26" t="s">
        <v>910</v>
      </c>
      <c r="C185" s="27" t="s">
        <v>401</v>
      </c>
      <c r="D185" s="50">
        <v>432000</v>
      </c>
      <c r="E185" s="30">
        <f>+(D185-$P185)/$P185</f>
        <v>-0.27998799979999667</v>
      </c>
      <c r="F185" s="50">
        <f t="shared" si="20"/>
        <v>18000</v>
      </c>
      <c r="G185" s="50">
        <v>432000</v>
      </c>
      <c r="H185" s="30">
        <f>+(G185-$P185)/$P185</f>
        <v>-0.27998799979999667</v>
      </c>
      <c r="I185" s="50">
        <f t="shared" si="21"/>
        <v>18000</v>
      </c>
      <c r="J185" s="50">
        <v>432000</v>
      </c>
      <c r="K185" s="30">
        <f>+(J185-$P185)/$P185</f>
        <v>-0.27998799979999667</v>
      </c>
      <c r="L185" s="50">
        <f t="shared" si="22"/>
        <v>36000</v>
      </c>
      <c r="M185" s="50">
        <v>552000</v>
      </c>
      <c r="N185" s="30">
        <f t="shared" si="23"/>
        <v>-7.9984666411106853E-2</v>
      </c>
      <c r="O185" s="50">
        <f t="shared" si="24"/>
        <v>46000</v>
      </c>
      <c r="P185" s="50">
        <v>599990</v>
      </c>
      <c r="Q185" t="s">
        <v>873</v>
      </c>
      <c r="R185" t="e">
        <f>VLOOKUP(B185,#REF!,1,0)</f>
        <v>#REF!</v>
      </c>
      <c r="S185" s="50">
        <v>-10000</v>
      </c>
      <c r="T185" s="50">
        <v>-600</v>
      </c>
      <c r="U185" s="50">
        <v>-20800</v>
      </c>
      <c r="V185" s="50">
        <v>-10000</v>
      </c>
      <c r="W185" s="50">
        <v>-600</v>
      </c>
      <c r="X185" s="50">
        <v>-20800</v>
      </c>
      <c r="Y185" s="50">
        <v>-10000</v>
      </c>
      <c r="Z185" s="50">
        <v>-600</v>
      </c>
      <c r="AA185" s="50">
        <v>-20800</v>
      </c>
      <c r="AB185" s="50">
        <v>-19200</v>
      </c>
      <c r="AC185" s="50">
        <v>-3.2000533342222359E-2</v>
      </c>
      <c r="AD185" s="50">
        <v>-800</v>
      </c>
      <c r="AE185" s="50">
        <v>-19200</v>
      </c>
      <c r="AF185" s="50">
        <v>-3.2000533342222359E-2</v>
      </c>
      <c r="AG185" s="50">
        <v>-800</v>
      </c>
      <c r="AH185" s="50">
        <v>-19200</v>
      </c>
      <c r="AI185" s="50">
        <v>-3.2000533342222359E-2</v>
      </c>
      <c r="AJ185" s="50">
        <v>-1600</v>
      </c>
      <c r="AK185" s="50">
        <v>76800</v>
      </c>
      <c r="AL185" s="50">
        <v>0.12800213336888949</v>
      </c>
      <c r="AM185" s="50">
        <v>76800</v>
      </c>
      <c r="AN185" s="50">
        <v>0.12800213336888949</v>
      </c>
      <c r="AO185" s="50">
        <v>6400</v>
      </c>
      <c r="AP185" s="50">
        <v>0</v>
      </c>
      <c r="AQ185" s="50">
        <v>0</v>
      </c>
      <c r="AR185" s="50">
        <v>0</v>
      </c>
      <c r="AT185" s="50">
        <v>249990</v>
      </c>
      <c r="AU185" s="50">
        <v>21900</v>
      </c>
      <c r="AV185" s="50">
        <v>644190</v>
      </c>
      <c r="AW185" s="50">
        <v>249990</v>
      </c>
      <c r="AX185" s="50">
        <v>21900</v>
      </c>
      <c r="AY185" s="50">
        <v>644190</v>
      </c>
      <c r="AZ185" s="50">
        <v>249990</v>
      </c>
      <c r="BA185" s="50">
        <v>21900</v>
      </c>
      <c r="BB185" s="50">
        <v>644190</v>
      </c>
      <c r="BC185" s="50">
        <v>451200</v>
      </c>
      <c r="BD185" s="50">
        <v>-0.24798746645777431</v>
      </c>
      <c r="BE185" s="50">
        <v>18800</v>
      </c>
      <c r="BF185" s="50">
        <v>451200</v>
      </c>
      <c r="BG185" s="50">
        <v>-0.24798746645777431</v>
      </c>
      <c r="BH185" s="50">
        <v>18800</v>
      </c>
      <c r="BI185" s="50">
        <v>451200</v>
      </c>
      <c r="BJ185" s="50">
        <v>-0.24798746645777431</v>
      </c>
      <c r="BK185" s="50">
        <v>37600</v>
      </c>
      <c r="BL185" s="50">
        <v>475200</v>
      </c>
      <c r="BM185" s="50">
        <v>-0.20798679977999635</v>
      </c>
      <c r="BN185" s="50">
        <v>475200</v>
      </c>
      <c r="BO185" s="50">
        <v>-0.20798679977999635</v>
      </c>
      <c r="BP185" s="50">
        <v>39600</v>
      </c>
      <c r="BQ185" s="50">
        <v>599990</v>
      </c>
      <c r="BR185" s="50" t="s">
        <v>747</v>
      </c>
      <c r="BS185" s="50" t="s">
        <v>748</v>
      </c>
    </row>
    <row r="186" spans="1:71" ht="15.75" customHeight="1" x14ac:dyDescent="0.2">
      <c r="A186" s="25" t="s">
        <v>891</v>
      </c>
      <c r="B186" s="26" t="s">
        <v>911</v>
      </c>
      <c r="C186" s="27" t="s">
        <v>401</v>
      </c>
      <c r="D186" s="50">
        <v>1173600</v>
      </c>
      <c r="E186" s="30">
        <f>+(D186-$P186)/$P186</f>
        <v>-0.24283382473435314</v>
      </c>
      <c r="F186" s="50">
        <f t="shared" si="20"/>
        <v>48900</v>
      </c>
      <c r="G186" s="50">
        <v>1173600</v>
      </c>
      <c r="H186" s="30">
        <f>+(G186-$P186)/$P186</f>
        <v>-0.24283382473435314</v>
      </c>
      <c r="I186" s="50">
        <f t="shared" si="21"/>
        <v>48900</v>
      </c>
      <c r="J186" s="50">
        <v>1173600</v>
      </c>
      <c r="K186" s="30">
        <f>+(J186-$P186)/$P186</f>
        <v>-0.24283382473435314</v>
      </c>
      <c r="L186" s="50">
        <f t="shared" si="22"/>
        <v>97800</v>
      </c>
      <c r="M186" s="50">
        <v>1293600</v>
      </c>
      <c r="N186" s="30">
        <f t="shared" si="23"/>
        <v>-0.16541397041271233</v>
      </c>
      <c r="O186" s="50">
        <f t="shared" si="24"/>
        <v>107800</v>
      </c>
      <c r="P186" s="50">
        <v>1549990</v>
      </c>
      <c r="Q186" t="s">
        <v>874</v>
      </c>
      <c r="R186" t="e">
        <f>VLOOKUP(B186,#REF!,1,0)</f>
        <v>#REF!</v>
      </c>
      <c r="S186" s="50">
        <v>0</v>
      </c>
      <c r="T186" s="50">
        <v>800</v>
      </c>
      <c r="U186" s="50">
        <v>14400</v>
      </c>
      <c r="V186" s="50">
        <v>0</v>
      </c>
      <c r="W186" s="50">
        <v>800</v>
      </c>
      <c r="X186" s="50">
        <v>14400</v>
      </c>
      <c r="Y186" s="50">
        <v>0</v>
      </c>
      <c r="Z186" s="50">
        <v>800</v>
      </c>
      <c r="AA186" s="50">
        <v>14400</v>
      </c>
      <c r="AB186" s="50">
        <v>0</v>
      </c>
      <c r="AC186" s="50">
        <v>0</v>
      </c>
      <c r="AD186" s="50">
        <v>0</v>
      </c>
      <c r="AE186" s="50">
        <v>0</v>
      </c>
      <c r="AF186" s="50">
        <v>0</v>
      </c>
      <c r="AG186" s="50">
        <v>0</v>
      </c>
      <c r="AH186" s="50">
        <v>0</v>
      </c>
      <c r="AI186" s="50">
        <v>0</v>
      </c>
      <c r="AJ186" s="50">
        <v>0</v>
      </c>
      <c r="AK186" s="50">
        <v>96000</v>
      </c>
      <c r="AL186" s="50">
        <v>6.1935883457312629E-2</v>
      </c>
      <c r="AM186" s="50">
        <v>96000</v>
      </c>
      <c r="AN186" s="50">
        <v>6.1935883457312629E-2</v>
      </c>
      <c r="AO186" s="50">
        <v>8000</v>
      </c>
      <c r="AP186" s="50">
        <v>0</v>
      </c>
      <c r="AQ186" s="50">
        <v>0</v>
      </c>
      <c r="AR186" s="50">
        <v>0</v>
      </c>
      <c r="AT186" s="50">
        <v>789990</v>
      </c>
      <c r="AU186" s="50">
        <v>50500</v>
      </c>
      <c r="AV186" s="50">
        <v>1698990</v>
      </c>
      <c r="AW186" s="50">
        <v>789990</v>
      </c>
      <c r="AX186" s="50">
        <v>50500</v>
      </c>
      <c r="AY186" s="50">
        <v>1698990</v>
      </c>
      <c r="AZ186" s="50">
        <v>789990</v>
      </c>
      <c r="BA186" s="50">
        <v>50500</v>
      </c>
      <c r="BB186" s="50">
        <v>1698990</v>
      </c>
      <c r="BC186" s="50">
        <v>1173600</v>
      </c>
      <c r="BD186" s="50">
        <v>-0.24283382473435314</v>
      </c>
      <c r="BE186" s="50">
        <v>48900</v>
      </c>
      <c r="BF186" s="50">
        <v>1173600</v>
      </c>
      <c r="BG186" s="50">
        <v>-0.24283382473435314</v>
      </c>
      <c r="BH186" s="50">
        <v>48900</v>
      </c>
      <c r="BI186" s="50">
        <v>1173600</v>
      </c>
      <c r="BJ186" s="50">
        <v>-0.24283382473435314</v>
      </c>
      <c r="BK186" s="50">
        <v>97800</v>
      </c>
      <c r="BL186" s="50">
        <v>1197600</v>
      </c>
      <c r="BM186" s="50">
        <v>-0.22734985387002496</v>
      </c>
      <c r="BN186" s="50">
        <v>1197600</v>
      </c>
      <c r="BO186" s="50">
        <v>-0.22734985387002496</v>
      </c>
      <c r="BP186" s="50">
        <v>99800</v>
      </c>
      <c r="BQ186" s="50">
        <v>1549990</v>
      </c>
      <c r="BR186" s="50" t="s">
        <v>747</v>
      </c>
      <c r="BS186" s="50" t="s">
        <v>748</v>
      </c>
    </row>
    <row r="187" spans="1:71" ht="15.75" customHeight="1" x14ac:dyDescent="0.2">
      <c r="A187" s="25" t="s">
        <v>892</v>
      </c>
      <c r="B187" s="26" t="s">
        <v>912</v>
      </c>
      <c r="C187" s="27" t="s">
        <v>401</v>
      </c>
      <c r="D187" s="50">
        <v>796800</v>
      </c>
      <c r="E187" s="30">
        <f>+(D187-$P187)/$P187</f>
        <v>-0.28215569509635224</v>
      </c>
      <c r="F187" s="50">
        <f t="shared" si="20"/>
        <v>33200</v>
      </c>
      <c r="G187" s="50">
        <v>796800</v>
      </c>
      <c r="H187" s="30">
        <f>+(G187-$P187)/$P187</f>
        <v>-0.28215569509635224</v>
      </c>
      <c r="I187" s="50">
        <f t="shared" si="21"/>
        <v>33200</v>
      </c>
      <c r="J187" s="50">
        <v>796800</v>
      </c>
      <c r="K187" s="30">
        <f>+(J187-$P187)/$P187</f>
        <v>-0.28215569509635224</v>
      </c>
      <c r="L187" s="50">
        <f t="shared" si="22"/>
        <v>66400</v>
      </c>
      <c r="M187" s="50">
        <v>916800</v>
      </c>
      <c r="N187" s="30">
        <f t="shared" si="23"/>
        <v>-0.17404661303254984</v>
      </c>
      <c r="O187" s="50">
        <f t="shared" si="24"/>
        <v>76400</v>
      </c>
      <c r="P187" s="50">
        <v>1109990</v>
      </c>
      <c r="Q187" t="s">
        <v>875</v>
      </c>
      <c r="R187" t="e">
        <f>VLOOKUP(B187,#REF!,1,0)</f>
        <v>#REF!</v>
      </c>
      <c r="S187" s="50">
        <v>0</v>
      </c>
      <c r="T187" s="50">
        <v>0</v>
      </c>
      <c r="U187" s="50">
        <v>0</v>
      </c>
      <c r="V187" s="50">
        <v>0</v>
      </c>
      <c r="W187" s="50">
        <v>0</v>
      </c>
      <c r="X187" s="50">
        <v>0</v>
      </c>
      <c r="Y187" s="50">
        <v>0</v>
      </c>
      <c r="Z187" s="50">
        <v>0</v>
      </c>
      <c r="AA187" s="50">
        <v>0</v>
      </c>
      <c r="AB187" s="50">
        <v>0</v>
      </c>
      <c r="AC187" s="50">
        <v>0</v>
      </c>
      <c r="AD187" s="50">
        <v>0</v>
      </c>
      <c r="AE187" s="50">
        <v>0</v>
      </c>
      <c r="AF187" s="50">
        <v>0</v>
      </c>
      <c r="AG187" s="50">
        <v>0</v>
      </c>
      <c r="AH187" s="50">
        <v>0</v>
      </c>
      <c r="AI187" s="50">
        <v>0</v>
      </c>
      <c r="AJ187" s="50">
        <v>0</v>
      </c>
      <c r="AK187" s="50">
        <v>96000</v>
      </c>
      <c r="AL187" s="50">
        <v>8.6487265651041895E-2</v>
      </c>
      <c r="AM187" s="50">
        <v>96000</v>
      </c>
      <c r="AN187" s="50">
        <v>8.6487265651041895E-2</v>
      </c>
      <c r="AO187" s="50">
        <v>8000</v>
      </c>
      <c r="AP187" s="50">
        <v>0</v>
      </c>
      <c r="AQ187" s="50">
        <v>0</v>
      </c>
      <c r="AR187" s="50">
        <v>0</v>
      </c>
      <c r="AT187" s="50">
        <v>559990</v>
      </c>
      <c r="AU187" s="50">
        <v>35500</v>
      </c>
      <c r="AV187" s="50">
        <v>1198990</v>
      </c>
      <c r="AW187" s="50">
        <v>559990</v>
      </c>
      <c r="AX187" s="50">
        <v>35500</v>
      </c>
      <c r="AY187" s="50">
        <v>1198990</v>
      </c>
      <c r="AZ187" s="50">
        <v>559990</v>
      </c>
      <c r="BA187" s="50">
        <v>35500</v>
      </c>
      <c r="BB187" s="50">
        <v>1198990</v>
      </c>
      <c r="BC187" s="50">
        <v>796800</v>
      </c>
      <c r="BD187" s="50">
        <v>-0.28215569509635224</v>
      </c>
      <c r="BE187" s="50">
        <v>33200</v>
      </c>
      <c r="BF187" s="50">
        <v>796800</v>
      </c>
      <c r="BG187" s="50">
        <v>-0.28215569509635224</v>
      </c>
      <c r="BH187" s="50">
        <v>33200</v>
      </c>
      <c r="BI187" s="50">
        <v>796800</v>
      </c>
      <c r="BJ187" s="50">
        <v>-0.28215569509635224</v>
      </c>
      <c r="BK187" s="50">
        <v>66400</v>
      </c>
      <c r="BL187" s="50">
        <v>820800</v>
      </c>
      <c r="BM187" s="50">
        <v>-0.26053387868359174</v>
      </c>
      <c r="BN187" s="50">
        <v>820800</v>
      </c>
      <c r="BO187" s="50">
        <v>-0.26053387868359174</v>
      </c>
      <c r="BP187" s="50">
        <v>68400</v>
      </c>
      <c r="BQ187" s="50">
        <v>1109990</v>
      </c>
      <c r="BR187" s="50" t="s">
        <v>747</v>
      </c>
      <c r="BS187" s="50" t="s">
        <v>748</v>
      </c>
    </row>
    <row r="188" spans="1:71" ht="15.75" customHeight="1" x14ac:dyDescent="0.2">
      <c r="A188" s="25" t="s">
        <v>893</v>
      </c>
      <c r="B188" s="26" t="s">
        <v>913</v>
      </c>
      <c r="C188" s="27" t="s">
        <v>401</v>
      </c>
      <c r="D188" s="50">
        <v>477600</v>
      </c>
      <c r="E188" s="30">
        <f>+(D188-$P188)/$P188</f>
        <v>-0.27635267201018199</v>
      </c>
      <c r="F188" s="50">
        <f t="shared" si="20"/>
        <v>19900</v>
      </c>
      <c r="G188" s="50">
        <v>477600</v>
      </c>
      <c r="H188" s="30">
        <f>+(G188-$P188)/$P188</f>
        <v>-0.27635267201018199</v>
      </c>
      <c r="I188" s="50">
        <f t="shared" si="21"/>
        <v>19900</v>
      </c>
      <c r="J188" s="50">
        <v>477600</v>
      </c>
      <c r="K188" s="30">
        <f>+(J188-$P188)/$P188</f>
        <v>-0.27635267201018199</v>
      </c>
      <c r="L188" s="50">
        <f t="shared" si="22"/>
        <v>39800</v>
      </c>
      <c r="M188" s="50">
        <v>597600</v>
      </c>
      <c r="N188" s="30">
        <f t="shared" si="23"/>
        <v>-9.4531735329323172E-2</v>
      </c>
      <c r="O188" s="50">
        <f t="shared" si="24"/>
        <v>49800</v>
      </c>
      <c r="P188" s="50">
        <v>659990</v>
      </c>
      <c r="Q188" t="s">
        <v>876</v>
      </c>
      <c r="R188" t="e">
        <f>VLOOKUP(B188,#REF!,1,0)</f>
        <v>#REF!</v>
      </c>
      <c r="S188" s="50">
        <v>-10000</v>
      </c>
      <c r="T188" s="50">
        <v>-700</v>
      </c>
      <c r="U188" s="50">
        <v>-22600</v>
      </c>
      <c r="V188" s="50">
        <v>-10000</v>
      </c>
      <c r="W188" s="50">
        <v>-700</v>
      </c>
      <c r="X188" s="50">
        <v>-22600</v>
      </c>
      <c r="Y188" s="50">
        <v>-10000</v>
      </c>
      <c r="Z188" s="50">
        <v>-700</v>
      </c>
      <c r="AA188" s="50">
        <v>-22600</v>
      </c>
      <c r="AB188" s="50">
        <v>-21600</v>
      </c>
      <c r="AC188" s="50">
        <v>-3.2727768602554608E-2</v>
      </c>
      <c r="AD188" s="50">
        <v>-900</v>
      </c>
      <c r="AE188" s="50">
        <v>-21600</v>
      </c>
      <c r="AF188" s="50">
        <v>-3.2727768602554608E-2</v>
      </c>
      <c r="AG188" s="50">
        <v>-900</v>
      </c>
      <c r="AH188" s="50">
        <v>-21600</v>
      </c>
      <c r="AI188" s="50">
        <v>-3.2727768602554608E-2</v>
      </c>
      <c r="AJ188" s="50">
        <v>-1800</v>
      </c>
      <c r="AK188" s="50">
        <v>74400</v>
      </c>
      <c r="AL188" s="50">
        <v>0.11272898074213246</v>
      </c>
      <c r="AM188" s="50">
        <v>74400</v>
      </c>
      <c r="AN188" s="50">
        <v>0.11272898074213246</v>
      </c>
      <c r="AO188" s="50">
        <v>6200</v>
      </c>
      <c r="AP188" s="50">
        <v>0</v>
      </c>
      <c r="AQ188" s="50">
        <v>0</v>
      </c>
      <c r="AR188" s="50">
        <v>0</v>
      </c>
      <c r="AT188" s="50">
        <v>299990</v>
      </c>
      <c r="AU188" s="50">
        <v>21700</v>
      </c>
      <c r="AV188" s="50">
        <v>690590</v>
      </c>
      <c r="AW188" s="50">
        <v>299990</v>
      </c>
      <c r="AX188" s="50">
        <v>21700</v>
      </c>
      <c r="AY188" s="50">
        <v>690590</v>
      </c>
      <c r="AZ188" s="50">
        <v>299990</v>
      </c>
      <c r="BA188" s="50">
        <v>21700</v>
      </c>
      <c r="BB188" s="50">
        <v>690590</v>
      </c>
      <c r="BC188" s="50">
        <v>499200</v>
      </c>
      <c r="BD188" s="50">
        <v>-0.24362490340762738</v>
      </c>
      <c r="BE188" s="50">
        <v>20800</v>
      </c>
      <c r="BF188" s="50">
        <v>499200</v>
      </c>
      <c r="BG188" s="50">
        <v>-0.24362490340762738</v>
      </c>
      <c r="BH188" s="50">
        <v>20800</v>
      </c>
      <c r="BI188" s="50">
        <v>499200</v>
      </c>
      <c r="BJ188" s="50">
        <v>-0.24362490340762738</v>
      </c>
      <c r="BK188" s="50">
        <v>41600</v>
      </c>
      <c r="BL188" s="50">
        <v>523200</v>
      </c>
      <c r="BM188" s="50">
        <v>-0.20726071607145563</v>
      </c>
      <c r="BN188" s="50">
        <v>523200</v>
      </c>
      <c r="BO188" s="50">
        <v>-0.20726071607145563</v>
      </c>
      <c r="BP188" s="50">
        <v>43600</v>
      </c>
      <c r="BQ188" s="50">
        <v>659990</v>
      </c>
      <c r="BR188" s="50" t="s">
        <v>747</v>
      </c>
      <c r="BS188" s="50" t="s">
        <v>748</v>
      </c>
    </row>
    <row r="189" spans="1:71" ht="15.75" customHeight="1" x14ac:dyDescent="0.2">
      <c r="A189" s="25" t="s">
        <v>894</v>
      </c>
      <c r="B189" s="26" t="s">
        <v>914</v>
      </c>
      <c r="C189" s="27" t="s">
        <v>401</v>
      </c>
      <c r="D189" s="50">
        <v>1058400</v>
      </c>
      <c r="E189" s="30">
        <f>+(D189-$P189)/$P189</f>
        <v>-0.20420454289129994</v>
      </c>
      <c r="F189" s="50">
        <f t="shared" si="20"/>
        <v>44100</v>
      </c>
      <c r="G189" s="50">
        <v>1058400</v>
      </c>
      <c r="H189" s="30">
        <f>+(G189-$P189)/$P189</f>
        <v>-0.20420454289129994</v>
      </c>
      <c r="I189" s="50">
        <f t="shared" si="21"/>
        <v>44100</v>
      </c>
      <c r="J189" s="50">
        <v>1058400</v>
      </c>
      <c r="K189" s="30">
        <f>+(J189-$P189)/$P189</f>
        <v>-0.20420454289129994</v>
      </c>
      <c r="L189" s="50">
        <f t="shared" si="22"/>
        <v>88200</v>
      </c>
      <c r="M189" s="50">
        <v>1178400</v>
      </c>
      <c r="N189" s="30">
        <f t="shared" si="23"/>
        <v>-0.11397830058872623</v>
      </c>
      <c r="O189" s="50">
        <f t="shared" si="24"/>
        <v>98200</v>
      </c>
      <c r="P189" s="50">
        <v>1329990</v>
      </c>
      <c r="Q189" t="s">
        <v>877</v>
      </c>
      <c r="R189" t="e">
        <f>VLOOKUP(B189,#REF!,1,0)</f>
        <v>#REF!</v>
      </c>
      <c r="S189" s="50">
        <v>0</v>
      </c>
      <c r="T189" s="50">
        <v>0</v>
      </c>
      <c r="U189" s="50">
        <v>0</v>
      </c>
      <c r="V189" s="50">
        <v>0</v>
      </c>
      <c r="W189" s="50">
        <v>0</v>
      </c>
      <c r="X189" s="50">
        <v>0</v>
      </c>
      <c r="Y189" s="50">
        <v>0</v>
      </c>
      <c r="Z189" s="50">
        <v>0</v>
      </c>
      <c r="AA189" s="50">
        <v>0</v>
      </c>
      <c r="AB189" s="50">
        <v>0</v>
      </c>
      <c r="AC189" s="50">
        <v>0</v>
      </c>
      <c r="AD189" s="50">
        <v>0</v>
      </c>
      <c r="AE189" s="50">
        <v>0</v>
      </c>
      <c r="AF189" s="50">
        <v>0</v>
      </c>
      <c r="AG189" s="50">
        <v>0</v>
      </c>
      <c r="AH189" s="50">
        <v>0</v>
      </c>
      <c r="AI189" s="50">
        <v>0</v>
      </c>
      <c r="AJ189" s="50">
        <v>0</v>
      </c>
      <c r="AK189" s="50">
        <v>96000</v>
      </c>
      <c r="AL189" s="50">
        <v>7.2180993842058963E-2</v>
      </c>
      <c r="AM189" s="50">
        <v>96000</v>
      </c>
      <c r="AN189" s="50">
        <v>7.2180993842058963E-2</v>
      </c>
      <c r="AO189" s="50">
        <v>8000</v>
      </c>
      <c r="AP189" s="50">
        <v>0</v>
      </c>
      <c r="AQ189" s="50">
        <v>0</v>
      </c>
      <c r="AR189" s="50">
        <v>0</v>
      </c>
      <c r="AT189" s="50">
        <v>699990</v>
      </c>
      <c r="AU189" s="50">
        <v>45100</v>
      </c>
      <c r="AV189" s="50">
        <v>1511790</v>
      </c>
      <c r="AW189" s="50">
        <v>699990</v>
      </c>
      <c r="AX189" s="50">
        <v>45100</v>
      </c>
      <c r="AY189" s="50">
        <v>1511790</v>
      </c>
      <c r="AZ189" s="50">
        <v>699990</v>
      </c>
      <c r="BA189" s="50">
        <v>45100</v>
      </c>
      <c r="BB189" s="50">
        <v>1511790</v>
      </c>
      <c r="BC189" s="50">
        <v>1058400</v>
      </c>
      <c r="BD189" s="50">
        <v>-0.20420454289129994</v>
      </c>
      <c r="BE189" s="50">
        <v>44100</v>
      </c>
      <c r="BF189" s="50">
        <v>1058400</v>
      </c>
      <c r="BG189" s="50">
        <v>-0.20420454289129994</v>
      </c>
      <c r="BH189" s="50">
        <v>44100</v>
      </c>
      <c r="BI189" s="50">
        <v>1058400</v>
      </c>
      <c r="BJ189" s="50">
        <v>-0.20420454289129994</v>
      </c>
      <c r="BK189" s="50">
        <v>88200</v>
      </c>
      <c r="BL189" s="50">
        <v>1082400</v>
      </c>
      <c r="BM189" s="50">
        <v>-0.18615929443078519</v>
      </c>
      <c r="BN189" s="50">
        <v>1082400</v>
      </c>
      <c r="BO189" s="50">
        <v>-0.18615929443078519</v>
      </c>
      <c r="BP189" s="50">
        <v>90200</v>
      </c>
      <c r="BQ189" s="50">
        <v>1329990</v>
      </c>
      <c r="BR189" s="50" t="s">
        <v>747</v>
      </c>
      <c r="BS189" s="50" t="s">
        <v>748</v>
      </c>
    </row>
    <row r="190" spans="1:71" ht="15.75" customHeight="1" x14ac:dyDescent="0.2">
      <c r="A190" s="25" t="s">
        <v>895</v>
      </c>
      <c r="B190" s="26" t="s">
        <v>915</v>
      </c>
      <c r="C190" s="27" t="s">
        <v>401</v>
      </c>
      <c r="D190" s="50">
        <v>1396800</v>
      </c>
      <c r="E190" s="30">
        <f>+(D190-$P190)/$P190</f>
        <v>-0.22399568886493815</v>
      </c>
      <c r="F190" s="50">
        <f t="shared" si="20"/>
        <v>58200</v>
      </c>
      <c r="G190" s="50">
        <v>1396800</v>
      </c>
      <c r="H190" s="30">
        <f>+(G190-$P190)/$P190</f>
        <v>-0.22399568886493815</v>
      </c>
      <c r="I190" s="50">
        <f t="shared" si="21"/>
        <v>58200</v>
      </c>
      <c r="J190" s="50">
        <v>1396800</v>
      </c>
      <c r="K190" s="30">
        <f>+(J190-$P190)/$P190</f>
        <v>-0.22399568886493815</v>
      </c>
      <c r="L190" s="50">
        <f t="shared" si="22"/>
        <v>116400</v>
      </c>
      <c r="M190" s="50">
        <v>1516800</v>
      </c>
      <c r="N190" s="30">
        <f t="shared" si="23"/>
        <v>-0.15732865182584349</v>
      </c>
      <c r="O190" s="50">
        <f t="shared" si="24"/>
        <v>126400</v>
      </c>
      <c r="P190" s="50">
        <v>1799990</v>
      </c>
      <c r="Q190" t="s">
        <v>878</v>
      </c>
      <c r="R190" t="e">
        <f>VLOOKUP(B190,#REF!,1,0)</f>
        <v>#REF!</v>
      </c>
      <c r="S190" s="50">
        <v>10000</v>
      </c>
      <c r="T190" s="50">
        <v>1500</v>
      </c>
      <c r="U190" s="50">
        <v>37000</v>
      </c>
      <c r="V190" s="50">
        <v>10000</v>
      </c>
      <c r="W190" s="50">
        <v>1500</v>
      </c>
      <c r="X190" s="50">
        <v>37000</v>
      </c>
      <c r="Y190" s="50">
        <v>10000</v>
      </c>
      <c r="Z190" s="50">
        <v>1500</v>
      </c>
      <c r="AA190" s="50">
        <v>37000</v>
      </c>
      <c r="AB190" s="50">
        <v>0</v>
      </c>
      <c r="AC190" s="50">
        <v>0</v>
      </c>
      <c r="AD190" s="50">
        <v>0</v>
      </c>
      <c r="AE190" s="50">
        <v>0</v>
      </c>
      <c r="AF190" s="50">
        <v>0</v>
      </c>
      <c r="AG190" s="50">
        <v>0</v>
      </c>
      <c r="AH190" s="50">
        <v>0</v>
      </c>
      <c r="AI190" s="50">
        <v>0</v>
      </c>
      <c r="AJ190" s="50">
        <v>0</v>
      </c>
      <c r="AK190" s="50">
        <v>96000</v>
      </c>
      <c r="AL190" s="50">
        <v>5.333362963127572E-2</v>
      </c>
      <c r="AM190" s="50">
        <v>96000</v>
      </c>
      <c r="AN190" s="50">
        <v>5.333362963127572E-2</v>
      </c>
      <c r="AO190" s="50">
        <v>8000</v>
      </c>
      <c r="AP190" s="50">
        <v>0</v>
      </c>
      <c r="AQ190" s="50">
        <v>0</v>
      </c>
      <c r="AR190" s="50">
        <v>0</v>
      </c>
      <c r="AT190" s="50">
        <v>979990</v>
      </c>
      <c r="AU190" s="50">
        <v>46500</v>
      </c>
      <c r="AV190" s="50">
        <v>1816990</v>
      </c>
      <c r="AW190" s="50">
        <v>979990</v>
      </c>
      <c r="AX190" s="50">
        <v>46500</v>
      </c>
      <c r="AY190" s="50">
        <v>1816990</v>
      </c>
      <c r="AZ190" s="50">
        <v>979990</v>
      </c>
      <c r="BA190" s="50">
        <v>46500</v>
      </c>
      <c r="BB190" s="50">
        <v>1816990</v>
      </c>
      <c r="BC190" s="50">
        <v>1396800</v>
      </c>
      <c r="BD190" s="50">
        <v>-0.22399568886493815</v>
      </c>
      <c r="BE190" s="50">
        <v>58200</v>
      </c>
      <c r="BF190" s="50">
        <v>1396800</v>
      </c>
      <c r="BG190" s="50">
        <v>-0.22399568886493815</v>
      </c>
      <c r="BH190" s="50">
        <v>58200</v>
      </c>
      <c r="BI190" s="50">
        <v>1396800</v>
      </c>
      <c r="BJ190" s="50">
        <v>-0.22399568886493815</v>
      </c>
      <c r="BK190" s="50">
        <v>116400</v>
      </c>
      <c r="BL190" s="50">
        <v>1420800</v>
      </c>
      <c r="BM190" s="50">
        <v>-0.21066228145711921</v>
      </c>
      <c r="BN190" s="50">
        <v>1420800</v>
      </c>
      <c r="BO190" s="50">
        <v>-0.21066228145711921</v>
      </c>
      <c r="BP190" s="50">
        <v>118400</v>
      </c>
      <c r="BQ190" s="50">
        <v>1799990</v>
      </c>
      <c r="BR190" s="50" t="s">
        <v>747</v>
      </c>
      <c r="BS190" s="50" t="s">
        <v>748</v>
      </c>
    </row>
    <row r="191" spans="1:71" ht="15.75" customHeight="1" x14ac:dyDescent="0.2">
      <c r="A191" s="25" t="s">
        <v>896</v>
      </c>
      <c r="B191" s="26" t="s">
        <v>916</v>
      </c>
      <c r="C191" s="27" t="s">
        <v>401</v>
      </c>
      <c r="D191" s="50">
        <v>1046400</v>
      </c>
      <c r="E191" s="30">
        <f>+(D191-$P191)/$P191</f>
        <v>-0.22488314728257247</v>
      </c>
      <c r="F191" s="50">
        <f t="shared" si="20"/>
        <v>43600</v>
      </c>
      <c r="G191" s="50">
        <v>1046400</v>
      </c>
      <c r="H191" s="30">
        <f>+(G191-$P191)/$P191</f>
        <v>-0.22488314728257247</v>
      </c>
      <c r="I191" s="50">
        <f t="shared" si="21"/>
        <v>43600</v>
      </c>
      <c r="J191" s="50">
        <v>1046400</v>
      </c>
      <c r="K191" s="30">
        <f>+(J191-$P191)/$P191</f>
        <v>-0.22488314728257247</v>
      </c>
      <c r="L191" s="50">
        <f t="shared" si="22"/>
        <v>87200</v>
      </c>
      <c r="M191" s="50">
        <v>1166400</v>
      </c>
      <c r="N191" s="30">
        <f t="shared" si="23"/>
        <v>-0.13599359995259225</v>
      </c>
      <c r="O191" s="50">
        <f t="shared" si="24"/>
        <v>97200</v>
      </c>
      <c r="P191" s="50">
        <v>1349990</v>
      </c>
      <c r="Q191" t="s">
        <v>883</v>
      </c>
      <c r="R191" t="e">
        <f>VLOOKUP(B191,#REF!,1,0)</f>
        <v>#REF!</v>
      </c>
      <c r="S191" s="50">
        <v>0</v>
      </c>
      <c r="T191" s="50">
        <v>0</v>
      </c>
      <c r="U191" s="50">
        <v>0</v>
      </c>
      <c r="V191" s="50">
        <v>0</v>
      </c>
      <c r="W191" s="50">
        <v>0</v>
      </c>
      <c r="X191" s="50">
        <v>0</v>
      </c>
      <c r="Y191" s="50">
        <v>0</v>
      </c>
      <c r="Z191" s="50">
        <v>0</v>
      </c>
      <c r="AA191" s="50">
        <v>0</v>
      </c>
      <c r="AB191" s="50">
        <v>0</v>
      </c>
      <c r="AC191" s="50">
        <v>0</v>
      </c>
      <c r="AD191" s="50">
        <v>0</v>
      </c>
      <c r="AE191" s="50">
        <v>0</v>
      </c>
      <c r="AF191" s="50">
        <v>0</v>
      </c>
      <c r="AG191" s="50">
        <v>0</v>
      </c>
      <c r="AH191" s="50">
        <v>0</v>
      </c>
      <c r="AI191" s="50">
        <v>0</v>
      </c>
      <c r="AJ191" s="50">
        <v>0</v>
      </c>
      <c r="AK191" s="50">
        <v>96000</v>
      </c>
      <c r="AL191" s="50">
        <v>7.1111637863984167E-2</v>
      </c>
      <c r="AM191" s="50">
        <v>96000</v>
      </c>
      <c r="AN191" s="50">
        <v>7.1111637863984167E-2</v>
      </c>
      <c r="AO191" s="50">
        <v>8000</v>
      </c>
      <c r="AP191" s="50">
        <v>0</v>
      </c>
      <c r="AQ191" s="50">
        <v>0</v>
      </c>
      <c r="AR191" s="50">
        <v>0</v>
      </c>
      <c r="AT191" s="50">
        <v>699990</v>
      </c>
      <c r="AU191" s="50">
        <v>45100</v>
      </c>
      <c r="AV191" s="50">
        <v>1511790</v>
      </c>
      <c r="AW191" s="50">
        <v>699990</v>
      </c>
      <c r="AX191" s="50">
        <v>45100</v>
      </c>
      <c r="AY191" s="50">
        <v>1511790</v>
      </c>
      <c r="AZ191" s="50">
        <v>699990</v>
      </c>
      <c r="BA191" s="50">
        <v>45100</v>
      </c>
      <c r="BB191" s="50">
        <v>1511790</v>
      </c>
      <c r="BC191" s="50">
        <v>1046400</v>
      </c>
      <c r="BD191" s="50">
        <v>-0.22488314728257247</v>
      </c>
      <c r="BE191" s="50">
        <v>43600</v>
      </c>
      <c r="BF191" s="50">
        <v>1046400</v>
      </c>
      <c r="BG191" s="50">
        <v>-0.22488314728257247</v>
      </c>
      <c r="BH191" s="50">
        <v>43600</v>
      </c>
      <c r="BI191" s="50">
        <v>1046400</v>
      </c>
      <c r="BJ191" s="50">
        <v>-0.22488314728257247</v>
      </c>
      <c r="BK191" s="50">
        <v>87200</v>
      </c>
      <c r="BL191" s="50">
        <v>1070400</v>
      </c>
      <c r="BM191" s="50">
        <v>-0.20710523781657642</v>
      </c>
      <c r="BN191" s="50">
        <v>1070400</v>
      </c>
      <c r="BO191" s="50">
        <v>-0.20710523781657642</v>
      </c>
      <c r="BP191" s="50">
        <v>89200</v>
      </c>
      <c r="BQ191" s="50">
        <v>1349990</v>
      </c>
      <c r="BR191" s="50" t="s">
        <v>747</v>
      </c>
      <c r="BS191" s="50" t="s">
        <v>748</v>
      </c>
    </row>
    <row r="192" spans="1:71" ht="15.75" customHeight="1" x14ac:dyDescent="0.2">
      <c r="A192" s="25" t="s">
        <v>897</v>
      </c>
      <c r="B192" s="26" t="s">
        <v>917</v>
      </c>
      <c r="C192" s="27" t="s">
        <v>401</v>
      </c>
      <c r="D192" s="50">
        <v>528000</v>
      </c>
      <c r="E192" s="30">
        <f>+(D192-$P192)/$P192</f>
        <v>-0.3399917498968737</v>
      </c>
      <c r="F192" s="50">
        <f t="shared" si="20"/>
        <v>22000</v>
      </c>
      <c r="G192" s="50">
        <v>528000</v>
      </c>
      <c r="H192" s="30">
        <f>+(G192-$P192)/$P192</f>
        <v>-0.3399917498968737</v>
      </c>
      <c r="I192" s="50">
        <f t="shared" si="21"/>
        <v>22000</v>
      </c>
      <c r="J192" s="50">
        <v>528000</v>
      </c>
      <c r="K192" s="30">
        <f>+(J192-$P192)/$P192</f>
        <v>-0.3399917498968737</v>
      </c>
      <c r="L192" s="50">
        <f t="shared" si="22"/>
        <v>44000</v>
      </c>
      <c r="M192" s="50">
        <v>648000</v>
      </c>
      <c r="N192" s="30">
        <f t="shared" si="23"/>
        <v>-0.18998987487343591</v>
      </c>
      <c r="O192" s="50">
        <f t="shared" si="24"/>
        <v>54000</v>
      </c>
      <c r="P192" s="50">
        <v>799990</v>
      </c>
      <c r="Q192" t="s">
        <v>793</v>
      </c>
      <c r="R192" t="e">
        <f>VLOOKUP(B192,#REF!,1,0)</f>
        <v>#REF!</v>
      </c>
      <c r="S192" s="50">
        <v>-10000</v>
      </c>
      <c r="T192" s="50">
        <v>-200</v>
      </c>
      <c r="U192" s="50">
        <v>-13600</v>
      </c>
      <c r="V192" s="50">
        <v>-10000</v>
      </c>
      <c r="W192" s="50">
        <v>-200</v>
      </c>
      <c r="X192" s="50">
        <v>-13600</v>
      </c>
      <c r="Y192" s="50">
        <v>-10000</v>
      </c>
      <c r="Z192" s="50">
        <v>-200</v>
      </c>
      <c r="AA192" s="50">
        <v>-13600</v>
      </c>
      <c r="AB192" s="50">
        <v>0</v>
      </c>
      <c r="AC192" s="50">
        <v>0</v>
      </c>
      <c r="AD192" s="50">
        <v>0</v>
      </c>
      <c r="AE192" s="50">
        <v>0</v>
      </c>
      <c r="AF192" s="50">
        <v>0</v>
      </c>
      <c r="AG192" s="50">
        <v>0</v>
      </c>
      <c r="AH192" s="50">
        <v>0</v>
      </c>
      <c r="AI192" s="50">
        <v>0</v>
      </c>
      <c r="AJ192" s="50">
        <v>0</v>
      </c>
      <c r="AK192" s="50">
        <v>96000</v>
      </c>
      <c r="AL192" s="50">
        <v>0.12000150001875023</v>
      </c>
      <c r="AM192" s="50">
        <v>96000</v>
      </c>
      <c r="AN192" s="50">
        <v>0.12000150001875023</v>
      </c>
      <c r="AO192" s="50">
        <v>8000</v>
      </c>
      <c r="AP192" s="50">
        <v>0</v>
      </c>
      <c r="AQ192" s="50">
        <v>0</v>
      </c>
      <c r="AR192" s="50">
        <v>0</v>
      </c>
      <c r="AT192" s="50">
        <v>349990</v>
      </c>
      <c r="AU192" s="50">
        <v>24700</v>
      </c>
      <c r="AV192" s="50">
        <v>794590</v>
      </c>
      <c r="AW192" s="50">
        <v>339990</v>
      </c>
      <c r="AX192" s="50">
        <v>24700</v>
      </c>
      <c r="AY192" s="50">
        <v>784590</v>
      </c>
      <c r="AZ192" s="50">
        <v>339990</v>
      </c>
      <c r="BA192" s="50">
        <v>24700</v>
      </c>
      <c r="BB192" s="50">
        <v>784590</v>
      </c>
      <c r="BC192" s="50">
        <v>528000</v>
      </c>
      <c r="BD192" s="50">
        <v>-0.3399917498968737</v>
      </c>
      <c r="BE192" s="50">
        <v>22000</v>
      </c>
      <c r="BF192" s="50">
        <v>528000</v>
      </c>
      <c r="BG192" s="50">
        <v>-0.3399917498968737</v>
      </c>
      <c r="BH192" s="50">
        <v>22000</v>
      </c>
      <c r="BI192" s="50">
        <v>528000</v>
      </c>
      <c r="BJ192" s="50">
        <v>-0.3399917498968737</v>
      </c>
      <c r="BK192" s="50">
        <v>44000</v>
      </c>
      <c r="BL192" s="50">
        <v>552000</v>
      </c>
      <c r="BM192" s="50">
        <v>-0.30999137489218614</v>
      </c>
      <c r="BN192" s="50">
        <v>552000</v>
      </c>
      <c r="BO192" s="50">
        <v>-0.30999137489218614</v>
      </c>
      <c r="BP192" s="50">
        <v>46000</v>
      </c>
      <c r="BQ192" s="50">
        <v>799990</v>
      </c>
      <c r="BR192" s="50" t="s">
        <v>747</v>
      </c>
      <c r="BS192" s="50" t="s">
        <v>748</v>
      </c>
    </row>
    <row r="193" spans="1:71" ht="15.75" customHeight="1" x14ac:dyDescent="0.2">
      <c r="A193" s="25" t="s">
        <v>898</v>
      </c>
      <c r="B193" s="26" t="s">
        <v>918</v>
      </c>
      <c r="C193" s="27" t="s">
        <v>401</v>
      </c>
      <c r="D193" s="50">
        <v>616800</v>
      </c>
      <c r="E193" s="30">
        <f>+(D193-$P193)/$P193</f>
        <v>-0.2568585163676671</v>
      </c>
      <c r="F193" s="50">
        <f t="shared" si="20"/>
        <v>25700</v>
      </c>
      <c r="G193" s="50">
        <v>616800</v>
      </c>
      <c r="H193" s="30">
        <f>+(G193-$P193)/$P193</f>
        <v>-0.2568585163676671</v>
      </c>
      <c r="I193" s="50">
        <f t="shared" si="21"/>
        <v>25700</v>
      </c>
      <c r="J193" s="50">
        <v>616800</v>
      </c>
      <c r="K193" s="30">
        <f>+(J193-$P193)/$P193</f>
        <v>-0.2568585163676671</v>
      </c>
      <c r="L193" s="50">
        <f t="shared" si="22"/>
        <v>51400</v>
      </c>
      <c r="M193" s="50">
        <v>736800</v>
      </c>
      <c r="N193" s="30">
        <f t="shared" si="23"/>
        <v>-0.11227846118627935</v>
      </c>
      <c r="O193" s="50">
        <f t="shared" si="24"/>
        <v>61400</v>
      </c>
      <c r="P193" s="50">
        <v>829990</v>
      </c>
      <c r="Q193" t="s">
        <v>879</v>
      </c>
      <c r="R193" t="e">
        <f>VLOOKUP(B193,#REF!,1,0)</f>
        <v>#REF!</v>
      </c>
      <c r="S193" s="50">
        <v>-10000</v>
      </c>
      <c r="T193" s="50">
        <v>-700</v>
      </c>
      <c r="U193" s="50">
        <v>-22600</v>
      </c>
      <c r="V193" s="50">
        <v>-10000</v>
      </c>
      <c r="W193" s="50">
        <v>-700</v>
      </c>
      <c r="X193" s="50">
        <v>-22600</v>
      </c>
      <c r="Y193" s="50">
        <v>-10000</v>
      </c>
      <c r="Z193" s="50">
        <v>-700</v>
      </c>
      <c r="AA193" s="50">
        <v>-22600</v>
      </c>
      <c r="AB193" s="50">
        <v>-12000</v>
      </c>
      <c r="AC193" s="50">
        <v>-1.4458005518138806E-2</v>
      </c>
      <c r="AD193" s="50">
        <v>-500</v>
      </c>
      <c r="AE193" s="50">
        <v>-12000</v>
      </c>
      <c r="AF193" s="50">
        <v>-1.4458005518138806E-2</v>
      </c>
      <c r="AG193" s="50">
        <v>-500</v>
      </c>
      <c r="AH193" s="50">
        <v>-12000</v>
      </c>
      <c r="AI193" s="50">
        <v>-1.4458005518138806E-2</v>
      </c>
      <c r="AJ193" s="50">
        <v>-1000</v>
      </c>
      <c r="AK193" s="50">
        <v>84000</v>
      </c>
      <c r="AL193" s="50">
        <v>0.10120603862697142</v>
      </c>
      <c r="AM193" s="50">
        <v>84000</v>
      </c>
      <c r="AN193" s="50">
        <v>0.10120603862697142</v>
      </c>
      <c r="AO193" s="50">
        <v>7000</v>
      </c>
      <c r="AP193" s="50">
        <v>0</v>
      </c>
      <c r="AQ193" s="50">
        <v>0</v>
      </c>
      <c r="AR193" s="50">
        <v>0</v>
      </c>
      <c r="AT193" s="50">
        <v>399990</v>
      </c>
      <c r="AU193" s="50">
        <v>29300</v>
      </c>
      <c r="AV193" s="50">
        <v>927390</v>
      </c>
      <c r="AW193" s="50">
        <v>399990</v>
      </c>
      <c r="AX193" s="50">
        <v>29300</v>
      </c>
      <c r="AY193" s="50">
        <v>927390</v>
      </c>
      <c r="AZ193" s="50">
        <v>399990</v>
      </c>
      <c r="BA193" s="50">
        <v>29300</v>
      </c>
      <c r="BB193" s="50">
        <v>927390</v>
      </c>
      <c r="BC193" s="50">
        <v>628800</v>
      </c>
      <c r="BD193" s="50">
        <v>-0.24240051084952829</v>
      </c>
      <c r="BE193" s="50">
        <v>26200</v>
      </c>
      <c r="BF193" s="50">
        <v>628800</v>
      </c>
      <c r="BG193" s="50">
        <v>-0.24240051084952829</v>
      </c>
      <c r="BH193" s="50">
        <v>26200</v>
      </c>
      <c r="BI193" s="50">
        <v>628800</v>
      </c>
      <c r="BJ193" s="50">
        <v>-0.24240051084952829</v>
      </c>
      <c r="BK193" s="50">
        <v>52400</v>
      </c>
      <c r="BL193" s="50">
        <v>652800</v>
      </c>
      <c r="BM193" s="50">
        <v>-0.21348449981325077</v>
      </c>
      <c r="BN193" s="50">
        <v>652800</v>
      </c>
      <c r="BO193" s="50">
        <v>-0.21348449981325077</v>
      </c>
      <c r="BP193" s="50">
        <v>54400</v>
      </c>
      <c r="BQ193" s="50">
        <v>829990</v>
      </c>
      <c r="BR193" s="50" t="s">
        <v>747</v>
      </c>
      <c r="BS193" s="50" t="s">
        <v>748</v>
      </c>
    </row>
    <row r="194" spans="1:71" ht="15.75" customHeight="1" x14ac:dyDescent="0.2">
      <c r="A194" s="25" t="s">
        <v>899</v>
      </c>
      <c r="B194" s="26" t="s">
        <v>919</v>
      </c>
      <c r="C194" s="27" t="s">
        <v>401</v>
      </c>
      <c r="D194" s="50">
        <v>444000</v>
      </c>
      <c r="E194" s="30">
        <f>+(D194-$P194)/$P194</f>
        <v>-0.1119822396447929</v>
      </c>
      <c r="F194" s="50">
        <f t="shared" si="20"/>
        <v>18500</v>
      </c>
      <c r="G194" s="50">
        <v>444000</v>
      </c>
      <c r="H194" s="30">
        <f>+(G194-$P194)/$P194</f>
        <v>-0.1119822396447929</v>
      </c>
      <c r="I194" s="50">
        <f t="shared" si="21"/>
        <v>18500</v>
      </c>
      <c r="J194" s="50">
        <v>444000</v>
      </c>
      <c r="K194" s="30">
        <f>+(J194-$P194)/$P194</f>
        <v>-0.1119822396447929</v>
      </c>
      <c r="L194" s="50">
        <f t="shared" si="22"/>
        <v>37000</v>
      </c>
      <c r="M194" s="50">
        <v>564000</v>
      </c>
      <c r="N194" s="30">
        <f t="shared" si="23"/>
        <v>0.12802256045120902</v>
      </c>
      <c r="O194" s="50">
        <f t="shared" si="24"/>
        <v>47000</v>
      </c>
      <c r="P194" s="50">
        <v>499990</v>
      </c>
      <c r="Q194" t="s">
        <v>880</v>
      </c>
      <c r="R194" t="e">
        <f>VLOOKUP(B194,#REF!,1,0)</f>
        <v>#REF!</v>
      </c>
      <c r="S194" s="50">
        <v>0</v>
      </c>
      <c r="T194" s="50">
        <v>0</v>
      </c>
      <c r="U194" s="50">
        <v>0</v>
      </c>
      <c r="V194" s="50">
        <v>0</v>
      </c>
      <c r="W194" s="50">
        <v>0</v>
      </c>
      <c r="X194" s="50">
        <v>0</v>
      </c>
      <c r="Y194" s="50">
        <v>0</v>
      </c>
      <c r="Z194" s="50">
        <v>0</v>
      </c>
      <c r="AA194" s="50">
        <v>0</v>
      </c>
      <c r="AB194" s="50">
        <v>0</v>
      </c>
      <c r="AC194" s="50">
        <v>0</v>
      </c>
      <c r="AD194" s="50">
        <v>0</v>
      </c>
      <c r="AE194" s="50">
        <v>0</v>
      </c>
      <c r="AF194" s="50">
        <v>0</v>
      </c>
      <c r="AG194" s="50">
        <v>0</v>
      </c>
      <c r="AH194" s="50">
        <v>0</v>
      </c>
      <c r="AI194" s="50">
        <v>0</v>
      </c>
      <c r="AJ194" s="50">
        <v>0</v>
      </c>
      <c r="AK194" s="50">
        <v>96000</v>
      </c>
      <c r="AL194" s="50">
        <v>0.19200384007680155</v>
      </c>
      <c r="AM194" s="50">
        <v>96000</v>
      </c>
      <c r="AN194" s="50">
        <v>0.19200384007680155</v>
      </c>
      <c r="AO194" s="50">
        <v>8000</v>
      </c>
      <c r="AP194" s="50">
        <v>0</v>
      </c>
      <c r="AQ194" s="50">
        <v>0</v>
      </c>
      <c r="AR194" s="50">
        <v>0</v>
      </c>
      <c r="AT194" s="50">
        <v>199990</v>
      </c>
      <c r="AU194" s="50">
        <v>17300</v>
      </c>
      <c r="AV194" s="50">
        <v>511390</v>
      </c>
      <c r="AW194" s="50">
        <v>199990</v>
      </c>
      <c r="AX194" s="50">
        <v>17300</v>
      </c>
      <c r="AY194" s="50">
        <v>511390</v>
      </c>
      <c r="AZ194" s="50">
        <v>199990</v>
      </c>
      <c r="BA194" s="50">
        <v>17300</v>
      </c>
      <c r="BB194" s="50">
        <v>511390</v>
      </c>
      <c r="BC194" s="50">
        <v>444000</v>
      </c>
      <c r="BD194" s="50">
        <v>-0.1119822396447929</v>
      </c>
      <c r="BE194" s="50">
        <v>18500</v>
      </c>
      <c r="BF194" s="50">
        <v>444000</v>
      </c>
      <c r="BG194" s="50">
        <v>-0.1119822396447929</v>
      </c>
      <c r="BH194" s="50">
        <v>18500</v>
      </c>
      <c r="BI194" s="50">
        <v>444000</v>
      </c>
      <c r="BJ194" s="50">
        <v>-0.1119822396447929</v>
      </c>
      <c r="BK194" s="50">
        <v>37000</v>
      </c>
      <c r="BL194" s="50">
        <v>468000</v>
      </c>
      <c r="BM194" s="50">
        <v>-6.398127962559251E-2</v>
      </c>
      <c r="BN194" s="50">
        <v>468000</v>
      </c>
      <c r="BO194" s="50">
        <v>-6.398127962559251E-2</v>
      </c>
      <c r="BP194" s="50">
        <v>39000</v>
      </c>
      <c r="BQ194" s="50">
        <v>499990</v>
      </c>
      <c r="BR194" s="50" t="s">
        <v>745</v>
      </c>
      <c r="BS194" s="50" t="s">
        <v>746</v>
      </c>
    </row>
    <row r="195" spans="1:71" ht="15.75" customHeight="1" x14ac:dyDescent="0.2">
      <c r="A195" s="25" t="s">
        <v>900</v>
      </c>
      <c r="B195" s="26" t="s">
        <v>920</v>
      </c>
      <c r="C195" s="27" t="s">
        <v>401</v>
      </c>
      <c r="D195" s="50">
        <v>444000</v>
      </c>
      <c r="E195" s="30">
        <f>+(D195-$P195)/$P195</f>
        <v>-0.1119822396447929</v>
      </c>
      <c r="F195" s="50">
        <f t="shared" si="20"/>
        <v>18500</v>
      </c>
      <c r="G195" s="50">
        <v>444000</v>
      </c>
      <c r="H195" s="30">
        <f>+(G195-$P195)/$P195</f>
        <v>-0.1119822396447929</v>
      </c>
      <c r="I195" s="50">
        <f t="shared" si="21"/>
        <v>18500</v>
      </c>
      <c r="J195" s="50">
        <v>444000</v>
      </c>
      <c r="K195" s="30">
        <f>+(J195-$P195)/$P195</f>
        <v>-0.1119822396447929</v>
      </c>
      <c r="L195" s="50">
        <f t="shared" si="22"/>
        <v>37000</v>
      </c>
      <c r="M195" s="50">
        <v>564000</v>
      </c>
      <c r="N195" s="30">
        <f t="shared" si="23"/>
        <v>0.12802256045120902</v>
      </c>
      <c r="O195" s="50">
        <f t="shared" si="24"/>
        <v>47000</v>
      </c>
      <c r="P195" s="50">
        <v>499990</v>
      </c>
      <c r="Q195" t="s">
        <v>880</v>
      </c>
      <c r="R195" t="e">
        <f>VLOOKUP(B195,#REF!,1,0)</f>
        <v>#REF!</v>
      </c>
      <c r="S195" s="50">
        <v>0</v>
      </c>
      <c r="T195" s="50">
        <v>0</v>
      </c>
      <c r="U195" s="50">
        <v>0</v>
      </c>
      <c r="V195" s="50">
        <v>0</v>
      </c>
      <c r="W195" s="50">
        <v>0</v>
      </c>
      <c r="X195" s="50">
        <v>0</v>
      </c>
      <c r="Y195" s="50">
        <v>0</v>
      </c>
      <c r="Z195" s="50">
        <v>0</v>
      </c>
      <c r="AA195" s="50">
        <v>0</v>
      </c>
      <c r="AB195" s="50">
        <v>0</v>
      </c>
      <c r="AC195" s="50">
        <v>0</v>
      </c>
      <c r="AD195" s="50">
        <v>0</v>
      </c>
      <c r="AE195" s="50">
        <v>0</v>
      </c>
      <c r="AF195" s="50">
        <v>0</v>
      </c>
      <c r="AG195" s="50">
        <v>0</v>
      </c>
      <c r="AH195" s="50">
        <v>0</v>
      </c>
      <c r="AI195" s="50">
        <v>0</v>
      </c>
      <c r="AJ195" s="50">
        <v>0</v>
      </c>
      <c r="AK195" s="50">
        <v>96000</v>
      </c>
      <c r="AL195" s="50">
        <v>0.19200384007680155</v>
      </c>
      <c r="AM195" s="50">
        <v>96000</v>
      </c>
      <c r="AN195" s="50">
        <v>0.19200384007680155</v>
      </c>
      <c r="AO195" s="50">
        <v>8000</v>
      </c>
      <c r="AP195" s="50">
        <v>0</v>
      </c>
      <c r="AQ195" s="50">
        <v>0</v>
      </c>
      <c r="AR195" s="50">
        <v>0</v>
      </c>
      <c r="AT195" s="50">
        <v>199990</v>
      </c>
      <c r="AU195" s="50">
        <v>17300</v>
      </c>
      <c r="AV195" s="50">
        <v>511390</v>
      </c>
      <c r="AW195" s="50">
        <v>199990</v>
      </c>
      <c r="AX195" s="50">
        <v>17300</v>
      </c>
      <c r="AY195" s="50">
        <v>511390</v>
      </c>
      <c r="AZ195" s="50">
        <v>199990</v>
      </c>
      <c r="BA195" s="50">
        <v>17300</v>
      </c>
      <c r="BB195" s="50">
        <v>511390</v>
      </c>
      <c r="BC195" s="50">
        <v>444000</v>
      </c>
      <c r="BD195" s="50">
        <v>-0.1119822396447929</v>
      </c>
      <c r="BE195" s="50">
        <v>18500</v>
      </c>
      <c r="BF195" s="50">
        <v>444000</v>
      </c>
      <c r="BG195" s="50">
        <v>-0.1119822396447929</v>
      </c>
      <c r="BH195" s="50">
        <v>18500</v>
      </c>
      <c r="BI195" s="50">
        <v>444000</v>
      </c>
      <c r="BJ195" s="50">
        <v>-0.1119822396447929</v>
      </c>
      <c r="BK195" s="50">
        <v>37000</v>
      </c>
      <c r="BL195" s="50">
        <v>468000</v>
      </c>
      <c r="BM195" s="50">
        <v>-6.398127962559251E-2</v>
      </c>
      <c r="BN195" s="50">
        <v>468000</v>
      </c>
      <c r="BO195" s="50">
        <v>-6.398127962559251E-2</v>
      </c>
      <c r="BP195" s="50">
        <v>39000</v>
      </c>
      <c r="BQ195" s="50">
        <v>499990</v>
      </c>
      <c r="BR195" s="50" t="s">
        <v>745</v>
      </c>
      <c r="BS195" s="50" t="s">
        <v>746</v>
      </c>
    </row>
    <row r="196" spans="1:71" ht="15.75" customHeight="1" x14ac:dyDescent="0.2">
      <c r="A196" s="25" t="s">
        <v>901</v>
      </c>
      <c r="B196" s="26" t="s">
        <v>921</v>
      </c>
      <c r="C196" s="27" t="s">
        <v>401</v>
      </c>
      <c r="D196" s="50">
        <v>648000</v>
      </c>
      <c r="E196" s="30">
        <f>+(D196-$P196)/$P196</f>
        <v>-0.18998987487343591</v>
      </c>
      <c r="F196" s="50">
        <f t="shared" si="20"/>
        <v>27000</v>
      </c>
      <c r="G196" s="50">
        <v>648000</v>
      </c>
      <c r="H196" s="30">
        <f>+(G196-$P196)/$P196</f>
        <v>-0.18998987487343591</v>
      </c>
      <c r="I196" s="50">
        <f t="shared" si="21"/>
        <v>27000</v>
      </c>
      <c r="J196" s="50">
        <v>648000</v>
      </c>
      <c r="K196" s="30">
        <f>+(J196-$P196)/$P196</f>
        <v>-0.18998987487343591</v>
      </c>
      <c r="L196" s="50">
        <f t="shared" si="22"/>
        <v>54000</v>
      </c>
      <c r="M196" s="50">
        <v>768000</v>
      </c>
      <c r="N196" s="30">
        <f t="shared" si="23"/>
        <v>-3.9987999849998124E-2</v>
      </c>
      <c r="O196" s="50">
        <f t="shared" si="24"/>
        <v>64000</v>
      </c>
      <c r="P196" s="50">
        <v>799990</v>
      </c>
      <c r="Q196" t="s">
        <v>881</v>
      </c>
      <c r="R196" t="e">
        <f>VLOOKUP(B196,#REF!,1,0)</f>
        <v>#REF!</v>
      </c>
      <c r="S196" s="50">
        <v>0</v>
      </c>
      <c r="T196" s="50">
        <v>0</v>
      </c>
      <c r="U196" s="50">
        <v>0</v>
      </c>
      <c r="V196" s="50">
        <v>0</v>
      </c>
      <c r="W196" s="50">
        <v>0</v>
      </c>
      <c r="X196" s="50">
        <v>0</v>
      </c>
      <c r="Y196" s="50">
        <v>0</v>
      </c>
      <c r="Z196" s="50">
        <v>0</v>
      </c>
      <c r="AA196" s="50">
        <v>0</v>
      </c>
      <c r="AB196" s="50">
        <v>-28800</v>
      </c>
      <c r="AC196" s="50">
        <v>-3.6000450005625073E-2</v>
      </c>
      <c r="AD196" s="50">
        <v>-1200</v>
      </c>
      <c r="AE196" s="50">
        <v>-28800</v>
      </c>
      <c r="AF196" s="50">
        <v>-3.6000450005625073E-2</v>
      </c>
      <c r="AG196" s="50">
        <v>-1200</v>
      </c>
      <c r="AH196" s="50">
        <v>-28800</v>
      </c>
      <c r="AI196" s="50">
        <v>-3.6000450005625073E-2</v>
      </c>
      <c r="AJ196" s="50">
        <v>-2400</v>
      </c>
      <c r="AK196" s="50">
        <v>67200</v>
      </c>
      <c r="AL196" s="50">
        <v>8.4001050013125161E-2</v>
      </c>
      <c r="AM196" s="50">
        <v>67200</v>
      </c>
      <c r="AN196" s="50">
        <v>8.4001050013125161E-2</v>
      </c>
      <c r="AO196" s="50">
        <v>5600</v>
      </c>
      <c r="AP196" s="50">
        <v>0</v>
      </c>
      <c r="AQ196" s="50">
        <v>0</v>
      </c>
      <c r="AR196" s="50">
        <v>0</v>
      </c>
      <c r="AT196" s="50">
        <v>329990</v>
      </c>
      <c r="AU196" s="50">
        <v>24400</v>
      </c>
      <c r="AV196" s="50">
        <v>769190</v>
      </c>
      <c r="AW196" s="50">
        <v>329990</v>
      </c>
      <c r="AX196" s="50">
        <v>24400</v>
      </c>
      <c r="AY196" s="50">
        <v>769190</v>
      </c>
      <c r="AZ196" s="50">
        <v>329990</v>
      </c>
      <c r="BA196" s="50">
        <v>24400</v>
      </c>
      <c r="BB196" s="50">
        <v>769190</v>
      </c>
      <c r="BC196" s="50">
        <v>676800</v>
      </c>
      <c r="BD196" s="50">
        <v>-0.15398942486781084</v>
      </c>
      <c r="BE196" s="50">
        <v>28200</v>
      </c>
      <c r="BF196" s="50">
        <v>676800</v>
      </c>
      <c r="BG196" s="50">
        <v>-0.15398942486781084</v>
      </c>
      <c r="BH196" s="50">
        <v>28200</v>
      </c>
      <c r="BI196" s="50">
        <v>676800</v>
      </c>
      <c r="BJ196" s="50">
        <v>-0.15398942486781084</v>
      </c>
      <c r="BK196" s="50">
        <v>56400</v>
      </c>
      <c r="BL196" s="50">
        <v>700800</v>
      </c>
      <c r="BM196" s="50">
        <v>-0.12398904986312329</v>
      </c>
      <c r="BN196" s="50">
        <v>700800</v>
      </c>
      <c r="BO196" s="50">
        <v>-0.12398904986312329</v>
      </c>
      <c r="BP196" s="50">
        <v>58400</v>
      </c>
      <c r="BQ196" s="50">
        <v>799990</v>
      </c>
      <c r="BR196" s="50" t="s">
        <v>747</v>
      </c>
      <c r="BS196" s="50" t="s">
        <v>748</v>
      </c>
    </row>
    <row r="197" spans="1:71" x14ac:dyDescent="0.2">
      <c r="A197" s="25" t="s">
        <v>902</v>
      </c>
      <c r="B197" s="26" t="s">
        <v>922</v>
      </c>
      <c r="C197" s="27" t="s">
        <v>401</v>
      </c>
      <c r="D197" s="50">
        <v>1044000</v>
      </c>
      <c r="E197" s="30">
        <f>+(D197-$P197)/$P197</f>
        <v>-0.25428038771705513</v>
      </c>
      <c r="F197" s="50">
        <f t="shared" si="20"/>
        <v>43500</v>
      </c>
      <c r="G197" s="50">
        <v>1044000</v>
      </c>
      <c r="H197" s="30">
        <f>+(G197-$P197)/$P197</f>
        <v>-0.25428038771705513</v>
      </c>
      <c r="I197" s="50">
        <f t="shared" si="21"/>
        <v>43500</v>
      </c>
      <c r="J197" s="50">
        <v>1044000</v>
      </c>
      <c r="K197" s="30">
        <f>+(J197-$P197)/$P197</f>
        <v>-0.25428038771705513</v>
      </c>
      <c r="L197" s="50">
        <f t="shared" si="22"/>
        <v>87000</v>
      </c>
      <c r="M197" s="50">
        <v>1164000</v>
      </c>
      <c r="N197" s="30">
        <f t="shared" si="23"/>
        <v>-0.16856548975349825</v>
      </c>
      <c r="O197" s="50">
        <f t="shared" si="24"/>
        <v>97000</v>
      </c>
      <c r="P197" s="50">
        <v>1399990</v>
      </c>
      <c r="Q197" t="s">
        <v>882</v>
      </c>
      <c r="R197" t="e">
        <f>VLOOKUP(B197,#REF!,1,0)</f>
        <v>#REF!</v>
      </c>
      <c r="S197" s="50">
        <v>0</v>
      </c>
      <c r="T197" s="50">
        <v>0</v>
      </c>
      <c r="U197" s="50">
        <v>0</v>
      </c>
      <c r="V197" s="50">
        <v>0</v>
      </c>
      <c r="W197" s="50">
        <v>0</v>
      </c>
      <c r="X197" s="50">
        <v>0</v>
      </c>
      <c r="Y197" s="50">
        <v>0</v>
      </c>
      <c r="Z197" s="50">
        <v>0</v>
      </c>
      <c r="AA197" s="50">
        <v>0</v>
      </c>
      <c r="AB197" s="50">
        <v>-112800</v>
      </c>
      <c r="AC197" s="50">
        <v>-8.0572004085743471E-2</v>
      </c>
      <c r="AD197" s="50">
        <v>-4700</v>
      </c>
      <c r="AE197" s="50">
        <v>-112800</v>
      </c>
      <c r="AF197" s="50">
        <v>-8.0572004085743471E-2</v>
      </c>
      <c r="AG197" s="50">
        <v>-4700</v>
      </c>
      <c r="AH197" s="50">
        <v>-112800</v>
      </c>
      <c r="AI197" s="50">
        <v>-8.0572004085743471E-2</v>
      </c>
      <c r="AJ197" s="50">
        <v>-9400</v>
      </c>
      <c r="AK197" s="50">
        <v>-16800</v>
      </c>
      <c r="AL197" s="50">
        <v>-1.2000085714897968E-2</v>
      </c>
      <c r="AM197" s="50">
        <v>-16800</v>
      </c>
      <c r="AN197" s="50">
        <v>-1.2000085714897968E-2</v>
      </c>
      <c r="AO197" s="50">
        <v>-1400</v>
      </c>
      <c r="AP197" s="50">
        <v>0</v>
      </c>
      <c r="AQ197" s="50">
        <v>0</v>
      </c>
      <c r="AR197" s="50">
        <v>0</v>
      </c>
      <c r="AT197" s="50">
        <v>659990</v>
      </c>
      <c r="AU197" s="50">
        <v>42400</v>
      </c>
      <c r="AV197" s="50">
        <v>1423190</v>
      </c>
      <c r="AW197" s="50">
        <v>659990</v>
      </c>
      <c r="AX197" s="50">
        <v>42400</v>
      </c>
      <c r="AY197" s="50">
        <v>1423190</v>
      </c>
      <c r="AZ197" s="50">
        <v>659990</v>
      </c>
      <c r="BA197" s="50">
        <v>42400</v>
      </c>
      <c r="BB197" s="50">
        <v>1423190</v>
      </c>
      <c r="BC197" s="50">
        <v>1156800</v>
      </c>
      <c r="BD197" s="50">
        <v>-0.17370838363131166</v>
      </c>
      <c r="BE197" s="50">
        <v>48200</v>
      </c>
      <c r="BF197" s="50">
        <v>1156800</v>
      </c>
      <c r="BG197" s="50">
        <v>-0.17370838363131166</v>
      </c>
      <c r="BH197" s="50">
        <v>48200</v>
      </c>
      <c r="BI197" s="50">
        <v>1156800</v>
      </c>
      <c r="BJ197" s="50">
        <v>-0.17370838363131166</v>
      </c>
      <c r="BK197" s="50">
        <v>96400</v>
      </c>
      <c r="BL197" s="50">
        <v>1180800</v>
      </c>
      <c r="BM197" s="50">
        <v>-0.15656540403860028</v>
      </c>
      <c r="BN197" s="50">
        <v>1180800</v>
      </c>
      <c r="BO197" s="50">
        <v>-0.15656540403860028</v>
      </c>
      <c r="BP197" s="50">
        <v>98400</v>
      </c>
      <c r="BQ197" s="50">
        <v>1399990</v>
      </c>
      <c r="BR197" s="50" t="s">
        <v>747</v>
      </c>
      <c r="BS197" s="50" t="s">
        <v>748</v>
      </c>
    </row>
    <row r="198" spans="1:71" x14ac:dyDescent="0.2">
      <c r="A198" s="25" t="s">
        <v>903</v>
      </c>
      <c r="B198" s="26" t="s">
        <v>923</v>
      </c>
      <c r="C198" s="27" t="s">
        <v>401</v>
      </c>
      <c r="D198" s="50">
        <v>357600</v>
      </c>
      <c r="E198" s="30">
        <f>+(D198-$P198)/$P198</f>
        <v>-0.55299441243015535</v>
      </c>
      <c r="F198" s="50">
        <f t="shared" si="20"/>
        <v>14900</v>
      </c>
      <c r="G198" s="50">
        <v>357600</v>
      </c>
      <c r="H198" s="30">
        <f>+(G198-$P198)/$P198</f>
        <v>-0.55299441243015535</v>
      </c>
      <c r="I198" s="50">
        <f t="shared" si="21"/>
        <v>14900</v>
      </c>
      <c r="J198" s="50">
        <v>357600</v>
      </c>
      <c r="K198" s="30">
        <f>+(J198-$P198)/$P198</f>
        <v>-0.55299441243015535</v>
      </c>
      <c r="L198" s="50">
        <f t="shared" si="22"/>
        <v>29800</v>
      </c>
      <c r="M198" s="50">
        <v>477600</v>
      </c>
      <c r="N198" s="30">
        <f t="shared" si="23"/>
        <v>-0.40299253740671759</v>
      </c>
      <c r="O198" s="50">
        <f t="shared" si="24"/>
        <v>39800</v>
      </c>
      <c r="P198" s="50">
        <v>799990</v>
      </c>
      <c r="Q198" t="s">
        <v>794</v>
      </c>
      <c r="R198" t="e">
        <f>VLOOKUP(B198,#REF!,1,0)</f>
        <v>#REF!</v>
      </c>
      <c r="S198" s="50">
        <v>-30000</v>
      </c>
      <c r="T198" s="50">
        <v>-2100</v>
      </c>
      <c r="U198" s="50">
        <v>-67800</v>
      </c>
      <c r="V198" s="50">
        <v>-30000</v>
      </c>
      <c r="W198" s="50">
        <v>-2100</v>
      </c>
      <c r="X198" s="50">
        <v>-67800</v>
      </c>
      <c r="Y198" s="50">
        <v>-30000</v>
      </c>
      <c r="Z198" s="50">
        <v>-2100</v>
      </c>
      <c r="AA198" s="50">
        <v>-67800</v>
      </c>
      <c r="AB198" s="50">
        <v>-81600</v>
      </c>
      <c r="AC198" s="50">
        <v>-0.10200127501593764</v>
      </c>
      <c r="AD198" s="50">
        <v>-3400</v>
      </c>
      <c r="AE198" s="50">
        <v>-81600</v>
      </c>
      <c r="AF198" s="50">
        <v>-0.10200127501593764</v>
      </c>
      <c r="AG198" s="50">
        <v>-3400</v>
      </c>
      <c r="AH198" s="50">
        <v>-81600</v>
      </c>
      <c r="AI198" s="50">
        <v>-0.10200127501593764</v>
      </c>
      <c r="AJ198" s="50">
        <v>-6800</v>
      </c>
      <c r="AK198" s="50">
        <v>-9600</v>
      </c>
      <c r="AL198" s="50">
        <v>-1.2000150001875043E-2</v>
      </c>
      <c r="AM198" s="50">
        <v>-9600</v>
      </c>
      <c r="AN198" s="50">
        <v>-1.2000150001875043E-2</v>
      </c>
      <c r="AO198" s="50">
        <v>-800</v>
      </c>
      <c r="AP198" s="50">
        <v>0</v>
      </c>
      <c r="AQ198" s="50">
        <v>0</v>
      </c>
      <c r="AR198" s="50">
        <v>0</v>
      </c>
      <c r="AT198" s="50">
        <v>239990</v>
      </c>
      <c r="AU198" s="50">
        <v>20200</v>
      </c>
      <c r="AV198" s="50">
        <v>603590</v>
      </c>
      <c r="AW198" s="50">
        <v>239990</v>
      </c>
      <c r="AX198" s="50">
        <v>20200</v>
      </c>
      <c r="AY198" s="50">
        <v>603590</v>
      </c>
      <c r="AZ198" s="50">
        <v>239990</v>
      </c>
      <c r="BA198" s="50">
        <v>20200</v>
      </c>
      <c r="BB198" s="50">
        <v>603590</v>
      </c>
      <c r="BC198" s="50">
        <v>439200</v>
      </c>
      <c r="BD198" s="50">
        <v>-0.4509931374142177</v>
      </c>
      <c r="BE198" s="50">
        <v>18300</v>
      </c>
      <c r="BF198" s="50">
        <v>439200</v>
      </c>
      <c r="BG198" s="50">
        <v>-0.4509931374142177</v>
      </c>
      <c r="BH198" s="50">
        <v>18300</v>
      </c>
      <c r="BI198" s="50">
        <v>439200</v>
      </c>
      <c r="BJ198" s="50">
        <v>-0.4509931374142177</v>
      </c>
      <c r="BK198" s="50">
        <v>36600</v>
      </c>
      <c r="BL198" s="50">
        <v>487200</v>
      </c>
      <c r="BM198" s="50">
        <v>-0.39099238740484255</v>
      </c>
      <c r="BN198" s="50">
        <v>487200</v>
      </c>
      <c r="BO198" s="50">
        <v>-0.39099238740484255</v>
      </c>
      <c r="BP198" s="50">
        <v>40600</v>
      </c>
      <c r="BQ198" s="50">
        <v>799990</v>
      </c>
      <c r="BR198" s="50" t="s">
        <v>747</v>
      </c>
      <c r="BS198" s="50" t="s">
        <v>748</v>
      </c>
    </row>
    <row r="199" spans="1:71" x14ac:dyDescent="0.2">
      <c r="A199" s="25" t="s">
        <v>926</v>
      </c>
      <c r="B199" s="26" t="s">
        <v>927</v>
      </c>
      <c r="C199" s="27" t="s">
        <v>401</v>
      </c>
      <c r="D199" s="50">
        <v>1173600</v>
      </c>
      <c r="E199" s="30">
        <f>+(D199-$P199)/$P199</f>
        <v>-0.24283382473435314</v>
      </c>
      <c r="F199" s="50">
        <f t="shared" si="20"/>
        <v>48900</v>
      </c>
      <c r="G199" s="50">
        <v>1173600</v>
      </c>
      <c r="H199" s="30">
        <f>+(G199-$P199)/$P199</f>
        <v>-0.24283382473435314</v>
      </c>
      <c r="I199" s="50">
        <f t="shared" si="21"/>
        <v>48900</v>
      </c>
      <c r="J199" s="50">
        <v>1173600</v>
      </c>
      <c r="K199" s="30">
        <f>+(J199-$P199)/$P199</f>
        <v>-0.24283382473435314</v>
      </c>
      <c r="L199" s="50">
        <f t="shared" si="22"/>
        <v>97800</v>
      </c>
      <c r="M199" s="50">
        <v>1293600</v>
      </c>
      <c r="N199" s="30">
        <f t="shared" si="23"/>
        <v>-0.16541397041271233</v>
      </c>
      <c r="O199" s="50">
        <f t="shared" si="24"/>
        <v>107800</v>
      </c>
      <c r="P199" s="50">
        <v>1549990</v>
      </c>
      <c r="Q199" t="s">
        <v>874</v>
      </c>
      <c r="R199" t="e">
        <f>VLOOKUP(B199,#REF!,1,0)</f>
        <v>#REF!</v>
      </c>
      <c r="S199" s="50">
        <v>0</v>
      </c>
      <c r="T199" s="50">
        <v>800</v>
      </c>
      <c r="U199" s="50">
        <v>14400</v>
      </c>
      <c r="V199" s="50">
        <v>0</v>
      </c>
      <c r="W199" s="50">
        <v>800</v>
      </c>
      <c r="X199" s="50">
        <v>14400</v>
      </c>
      <c r="Y199" s="50">
        <v>0</v>
      </c>
      <c r="Z199" s="50">
        <v>800</v>
      </c>
      <c r="AA199" s="50">
        <v>14400</v>
      </c>
      <c r="AB199" s="50">
        <v>0</v>
      </c>
      <c r="AC199" s="50">
        <v>0</v>
      </c>
      <c r="AD199" s="50">
        <v>0</v>
      </c>
      <c r="AE199" s="50">
        <v>0</v>
      </c>
      <c r="AF199" s="50">
        <v>0</v>
      </c>
      <c r="AG199" s="50">
        <v>0</v>
      </c>
      <c r="AH199" s="50">
        <v>0</v>
      </c>
      <c r="AI199" s="50">
        <v>0</v>
      </c>
      <c r="AJ199" s="50">
        <v>0</v>
      </c>
      <c r="AK199" s="50">
        <v>96000</v>
      </c>
      <c r="AL199" s="50">
        <v>6.1935883457312629E-2</v>
      </c>
      <c r="AM199" s="50">
        <v>96000</v>
      </c>
      <c r="AN199" s="50">
        <v>6.1935883457312629E-2</v>
      </c>
      <c r="AO199" s="50">
        <v>8000</v>
      </c>
      <c r="AP199" s="50">
        <v>0</v>
      </c>
      <c r="AQ199" s="50">
        <v>0</v>
      </c>
      <c r="AR199" s="50">
        <v>0</v>
      </c>
      <c r="AT199" s="50">
        <v>789990</v>
      </c>
      <c r="AU199" s="50">
        <v>50500</v>
      </c>
      <c r="AV199" s="50">
        <v>1698990</v>
      </c>
      <c r="AW199" s="50">
        <v>789990</v>
      </c>
      <c r="AX199" s="50">
        <v>50500</v>
      </c>
      <c r="AY199" s="50">
        <v>1698990</v>
      </c>
      <c r="AZ199" s="50">
        <v>789990</v>
      </c>
      <c r="BA199" s="50">
        <v>50500</v>
      </c>
      <c r="BB199" s="50">
        <v>1698990</v>
      </c>
      <c r="BC199" s="50">
        <v>1173600</v>
      </c>
      <c r="BD199" s="50">
        <v>-0.24283382473435314</v>
      </c>
      <c r="BE199" s="50">
        <v>48900</v>
      </c>
      <c r="BF199" s="50">
        <v>1173600</v>
      </c>
      <c r="BG199" s="50">
        <v>-0.24283382473435314</v>
      </c>
      <c r="BH199" s="50">
        <v>48900</v>
      </c>
      <c r="BI199" s="50">
        <v>1173600</v>
      </c>
      <c r="BJ199" s="50">
        <v>-0.24283382473435314</v>
      </c>
      <c r="BK199" s="50">
        <v>97800</v>
      </c>
      <c r="BL199" s="50">
        <v>1197600</v>
      </c>
      <c r="BM199" s="50">
        <v>-0.22734985387002496</v>
      </c>
      <c r="BN199" s="50">
        <v>1197600</v>
      </c>
      <c r="BO199" s="50">
        <v>-0.22734985387002496</v>
      </c>
      <c r="BP199" s="50">
        <v>99800</v>
      </c>
      <c r="BQ199" s="50">
        <v>1549990</v>
      </c>
      <c r="BR199" s="50" t="s">
        <v>747</v>
      </c>
      <c r="BS199" s="50" t="s">
        <v>748</v>
      </c>
    </row>
    <row r="200" spans="1:71" ht="15.75" customHeight="1" x14ac:dyDescent="0.2">
      <c r="A200" s="25" t="s">
        <v>924</v>
      </c>
      <c r="B200" s="26" t="s">
        <v>925</v>
      </c>
      <c r="C200" s="27" t="s">
        <v>401</v>
      </c>
      <c r="D200" s="50">
        <v>616800</v>
      </c>
      <c r="E200" s="30">
        <f>+(D200-$P200)/$P200</f>
        <v>-0.2568585163676671</v>
      </c>
      <c r="F200" s="50">
        <f t="shared" si="20"/>
        <v>25700</v>
      </c>
      <c r="G200" s="50">
        <v>616800</v>
      </c>
      <c r="H200" s="30">
        <f>+(G200-$P200)/$P200</f>
        <v>-0.2568585163676671</v>
      </c>
      <c r="I200" s="50">
        <f t="shared" si="21"/>
        <v>25700</v>
      </c>
      <c r="J200" s="50">
        <v>616800</v>
      </c>
      <c r="K200" s="30">
        <f>+(J200-$P200)/$P200</f>
        <v>-0.2568585163676671</v>
      </c>
      <c r="L200" s="50">
        <f t="shared" si="22"/>
        <v>51400</v>
      </c>
      <c r="M200" s="50">
        <v>736800</v>
      </c>
      <c r="N200" s="30">
        <f t="shared" si="23"/>
        <v>-0.11227846118627935</v>
      </c>
      <c r="O200" s="50">
        <f t="shared" si="24"/>
        <v>61400</v>
      </c>
      <c r="P200" s="50">
        <v>829990</v>
      </c>
      <c r="Q200" t="s">
        <v>879</v>
      </c>
      <c r="R200" t="e">
        <f>VLOOKUP(B200,#REF!,1,0)</f>
        <v>#REF!</v>
      </c>
      <c r="S200" s="50">
        <v>-10000</v>
      </c>
      <c r="T200" s="50">
        <v>-700</v>
      </c>
      <c r="U200" s="50">
        <v>-22600</v>
      </c>
      <c r="V200" s="50">
        <v>-10000</v>
      </c>
      <c r="W200" s="50">
        <v>-700</v>
      </c>
      <c r="X200" s="50">
        <v>-22600</v>
      </c>
      <c r="Y200" s="50">
        <v>-10000</v>
      </c>
      <c r="Z200" s="50">
        <v>-700</v>
      </c>
      <c r="AA200" s="50">
        <v>-22600</v>
      </c>
      <c r="AB200" s="50">
        <v>-12000</v>
      </c>
      <c r="AC200" s="50">
        <v>-1.4458005518138806E-2</v>
      </c>
      <c r="AD200" s="50">
        <v>-500</v>
      </c>
      <c r="AE200" s="50">
        <v>-12000</v>
      </c>
      <c r="AF200" s="50">
        <v>-1.4458005518138806E-2</v>
      </c>
      <c r="AG200" s="50">
        <v>-500</v>
      </c>
      <c r="AH200" s="50">
        <v>-12000</v>
      </c>
      <c r="AI200" s="50">
        <v>-1.4458005518138806E-2</v>
      </c>
      <c r="AJ200" s="50">
        <v>-1000</v>
      </c>
      <c r="AK200" s="50">
        <v>84000</v>
      </c>
      <c r="AL200" s="50">
        <v>0.10120603862697142</v>
      </c>
      <c r="AM200" s="50">
        <v>84000</v>
      </c>
      <c r="AN200" s="50">
        <v>0.10120603862697142</v>
      </c>
      <c r="AO200" s="50">
        <v>7000</v>
      </c>
      <c r="AP200" s="50">
        <v>0</v>
      </c>
      <c r="AQ200" s="50">
        <v>0</v>
      </c>
      <c r="AR200" s="50">
        <v>0</v>
      </c>
      <c r="AT200" s="50">
        <v>399990</v>
      </c>
      <c r="AU200" s="50">
        <v>29300</v>
      </c>
      <c r="AV200" s="50">
        <v>927390</v>
      </c>
      <c r="AW200" s="50">
        <v>399990</v>
      </c>
      <c r="AX200" s="50">
        <v>29300</v>
      </c>
      <c r="AY200" s="50">
        <v>927390</v>
      </c>
      <c r="AZ200" s="50">
        <v>399990</v>
      </c>
      <c r="BA200" s="50">
        <v>29300</v>
      </c>
      <c r="BB200" s="50">
        <v>927390</v>
      </c>
      <c r="BC200" s="50">
        <v>628800</v>
      </c>
      <c r="BD200" s="50">
        <v>-0.24240051084952829</v>
      </c>
      <c r="BE200" s="50">
        <v>26200</v>
      </c>
      <c r="BF200" s="50">
        <v>628800</v>
      </c>
      <c r="BG200" s="50">
        <v>-0.24240051084952829</v>
      </c>
      <c r="BH200" s="50">
        <v>26200</v>
      </c>
      <c r="BI200" s="50">
        <v>628800</v>
      </c>
      <c r="BJ200" s="50">
        <v>-0.24240051084952829</v>
      </c>
      <c r="BK200" s="50">
        <v>52400</v>
      </c>
      <c r="BL200" s="50">
        <v>652800</v>
      </c>
      <c r="BM200" s="50">
        <v>-0.21348449981325077</v>
      </c>
      <c r="BN200" s="50">
        <v>652800</v>
      </c>
      <c r="BO200" s="50">
        <v>-0.21348449981325077</v>
      </c>
      <c r="BP200" s="50">
        <v>54400</v>
      </c>
      <c r="BQ200" s="50">
        <v>829990</v>
      </c>
      <c r="BR200" s="50" t="s">
        <v>747</v>
      </c>
      <c r="BS200" s="50" t="s">
        <v>748</v>
      </c>
    </row>
    <row r="201" spans="1:71" ht="15.75" customHeight="1" x14ac:dyDescent="0.2">
      <c r="A201" s="25" t="s">
        <v>941</v>
      </c>
      <c r="B201" s="26" t="s">
        <v>940</v>
      </c>
      <c r="C201" s="27" t="s">
        <v>742</v>
      </c>
      <c r="D201" s="50">
        <v>1497600</v>
      </c>
      <c r="E201" s="30">
        <f>+(D201-$P201)/$P201</f>
        <v>-0.31926963304378658</v>
      </c>
      <c r="F201" s="50">
        <f t="shared" si="20"/>
        <v>62400</v>
      </c>
      <c r="G201" s="50">
        <v>1497600</v>
      </c>
      <c r="H201" s="30">
        <f>+(G201-$P201)/$P201</f>
        <v>-0.31926963304378658</v>
      </c>
      <c r="I201" s="50">
        <f t="shared" si="21"/>
        <v>62400</v>
      </c>
      <c r="J201" s="50">
        <v>1497600</v>
      </c>
      <c r="K201" s="30">
        <f>+(J201-$P201)/$P201</f>
        <v>-0.31926963304378658</v>
      </c>
      <c r="L201" s="50">
        <f t="shared" si="22"/>
        <v>124800</v>
      </c>
      <c r="M201" s="50">
        <v>1617600</v>
      </c>
      <c r="N201" s="30">
        <f t="shared" si="23"/>
        <v>-0.26472393056332072</v>
      </c>
      <c r="O201" s="50">
        <f t="shared" si="24"/>
        <v>134800</v>
      </c>
      <c r="P201" s="50">
        <v>2199990</v>
      </c>
      <c r="Q201" t="s">
        <v>939</v>
      </c>
      <c r="S201" s="50">
        <v>-70000</v>
      </c>
      <c r="T201" s="50">
        <v>600</v>
      </c>
      <c r="U201" s="50">
        <v>-59200</v>
      </c>
      <c r="V201" s="50">
        <v>20000</v>
      </c>
      <c r="W201" s="50">
        <v>600</v>
      </c>
      <c r="X201" s="50">
        <v>30800</v>
      </c>
      <c r="Y201" s="50">
        <v>20000</v>
      </c>
      <c r="Z201" s="50">
        <v>600</v>
      </c>
      <c r="AA201" s="50">
        <v>30800</v>
      </c>
      <c r="AB201" s="50">
        <v>0</v>
      </c>
      <c r="AC201" s="50">
        <v>0</v>
      </c>
      <c r="AD201" s="50">
        <v>0</v>
      </c>
      <c r="AE201" s="50">
        <v>0</v>
      </c>
      <c r="AF201" s="50">
        <v>0</v>
      </c>
      <c r="AG201" s="50">
        <v>0</v>
      </c>
      <c r="AH201" s="50">
        <v>0</v>
      </c>
      <c r="AI201" s="50">
        <v>0</v>
      </c>
      <c r="AJ201" s="50">
        <v>0</v>
      </c>
      <c r="AK201" s="50">
        <v>96000</v>
      </c>
      <c r="AL201" s="50">
        <v>4.3636561984372657E-2</v>
      </c>
      <c r="AM201" s="50">
        <v>96000</v>
      </c>
      <c r="AN201" s="50">
        <v>4.3636561984372657E-2</v>
      </c>
      <c r="AO201" s="50">
        <v>8000</v>
      </c>
      <c r="AP201" s="50">
        <v>0</v>
      </c>
      <c r="AQ201" s="50">
        <v>0</v>
      </c>
      <c r="AR201" s="50">
        <v>0</v>
      </c>
      <c r="AT201" s="50">
        <v>1159990</v>
      </c>
      <c r="AU201" s="50">
        <v>51300</v>
      </c>
      <c r="AV201" s="50">
        <v>2083390</v>
      </c>
      <c r="AW201" s="50">
        <v>1059990</v>
      </c>
      <c r="AX201" s="50">
        <v>51300</v>
      </c>
      <c r="AY201" s="50">
        <v>1983390</v>
      </c>
      <c r="AZ201" s="50">
        <v>1059990</v>
      </c>
      <c r="BA201" s="50">
        <v>51300</v>
      </c>
      <c r="BB201" s="50">
        <v>1983390</v>
      </c>
      <c r="BC201" s="50">
        <v>1497600</v>
      </c>
      <c r="BD201" s="50">
        <v>-0.31926963304378658</v>
      </c>
      <c r="BE201" s="50">
        <v>62400</v>
      </c>
      <c r="BF201" s="50">
        <v>1497600</v>
      </c>
      <c r="BG201" s="50">
        <v>-0.31926963304378658</v>
      </c>
      <c r="BH201" s="50">
        <v>62400</v>
      </c>
      <c r="BI201" s="50">
        <v>1497600</v>
      </c>
      <c r="BJ201" s="50">
        <v>-0.31926963304378658</v>
      </c>
      <c r="BK201" s="50">
        <v>124800</v>
      </c>
      <c r="BL201" s="50">
        <v>1521600</v>
      </c>
      <c r="BM201" s="50">
        <v>-0.30836049254769338</v>
      </c>
      <c r="BN201" s="50">
        <v>1521600</v>
      </c>
      <c r="BO201" s="50">
        <v>-0.30836049254769338</v>
      </c>
      <c r="BP201" s="50">
        <v>126800</v>
      </c>
      <c r="BQ201" s="50">
        <v>2199990</v>
      </c>
      <c r="BR201" s="50" t="s">
        <v>747</v>
      </c>
      <c r="BS201" s="50" t="s">
        <v>748</v>
      </c>
    </row>
    <row r="202" spans="1:71" ht="15.75" customHeight="1" x14ac:dyDescent="0.2">
      <c r="A202" s="25" t="s">
        <v>942</v>
      </c>
      <c r="B202" s="26" t="s">
        <v>944</v>
      </c>
      <c r="C202" s="27" t="s">
        <v>742</v>
      </c>
      <c r="D202" s="50">
        <v>266400</v>
      </c>
      <c r="E202" s="30">
        <f>+(D202-$P202)/$P202</f>
        <v>-0.23883539529700848</v>
      </c>
      <c r="F202" s="50">
        <f t="shared" si="20"/>
        <v>11100</v>
      </c>
      <c r="G202" s="50">
        <v>266400</v>
      </c>
      <c r="H202" s="30">
        <f>+(G202-$P202)/$P202</f>
        <v>-0.23883539529700848</v>
      </c>
      <c r="I202" s="50">
        <f t="shared" si="21"/>
        <v>11100</v>
      </c>
      <c r="J202" s="50">
        <v>266400</v>
      </c>
      <c r="K202" s="30">
        <f>+(J202-$P202)/$P202</f>
        <v>-0.23883539529700848</v>
      </c>
      <c r="L202" s="50">
        <f t="shared" si="22"/>
        <v>22200</v>
      </c>
      <c r="M202" s="50">
        <v>302400</v>
      </c>
      <c r="N202" s="30">
        <f t="shared" si="23"/>
        <v>-0.135975313580388</v>
      </c>
      <c r="O202" s="50">
        <f t="shared" si="24"/>
        <v>25200</v>
      </c>
      <c r="P202" s="50">
        <v>349990</v>
      </c>
      <c r="Q202" t="s">
        <v>949</v>
      </c>
      <c r="S202" s="50">
        <v>119990</v>
      </c>
      <c r="T202" s="50">
        <v>13900</v>
      </c>
      <c r="U202" s="50">
        <v>370190</v>
      </c>
      <c r="V202" s="50">
        <v>109990</v>
      </c>
      <c r="W202" s="50">
        <v>13900</v>
      </c>
      <c r="X202" s="50">
        <v>360190</v>
      </c>
      <c r="Y202" s="50">
        <v>109990</v>
      </c>
      <c r="Z202" s="50">
        <v>13900</v>
      </c>
      <c r="AA202" s="50">
        <v>360190</v>
      </c>
      <c r="AB202" s="50">
        <v>266400</v>
      </c>
      <c r="AC202" s="50">
        <v>-0.23883539529700848</v>
      </c>
      <c r="AD202" s="50">
        <v>11100</v>
      </c>
      <c r="AE202" s="50">
        <v>266400</v>
      </c>
      <c r="AF202" s="50">
        <v>-0.23883539529700848</v>
      </c>
      <c r="AG202" s="50">
        <v>11100</v>
      </c>
      <c r="AH202" s="50">
        <v>266400</v>
      </c>
      <c r="AI202" s="50">
        <v>-0.23883539529700848</v>
      </c>
      <c r="AJ202" s="50">
        <v>22200</v>
      </c>
      <c r="AK202" s="50">
        <v>302400</v>
      </c>
      <c r="AL202" s="50">
        <v>-0.135975313580388</v>
      </c>
      <c r="AM202" s="50">
        <v>302400</v>
      </c>
      <c r="AN202" s="50">
        <v>-0.135975313580388</v>
      </c>
      <c r="AO202" s="50">
        <v>25200</v>
      </c>
      <c r="AP202" s="50">
        <v>349990</v>
      </c>
      <c r="AQ202" s="50">
        <v>5000</v>
      </c>
      <c r="AR202" s="50">
        <v>8000</v>
      </c>
      <c r="AT202" s="50">
        <v>0</v>
      </c>
      <c r="AU202" s="50">
        <v>0</v>
      </c>
      <c r="AV202" s="50">
        <v>0</v>
      </c>
      <c r="AW202" s="50">
        <v>0</v>
      </c>
      <c r="AX202" s="50">
        <v>0</v>
      </c>
      <c r="AY202" s="50">
        <v>0</v>
      </c>
      <c r="AZ202" s="50">
        <v>0</v>
      </c>
      <c r="BA202" s="50">
        <v>0</v>
      </c>
      <c r="BB202" s="50">
        <v>0</v>
      </c>
      <c r="BC202" s="50">
        <v>0</v>
      </c>
      <c r="BD202" s="50">
        <v>0</v>
      </c>
      <c r="BE202" s="50">
        <v>0</v>
      </c>
      <c r="BF202" s="50">
        <v>0</v>
      </c>
      <c r="BG202" s="50">
        <v>0</v>
      </c>
      <c r="BH202" s="50">
        <v>0</v>
      </c>
      <c r="BI202" s="50">
        <v>0</v>
      </c>
      <c r="BJ202" s="50">
        <v>0</v>
      </c>
      <c r="BK202" s="50">
        <v>0</v>
      </c>
      <c r="BL202" s="50">
        <v>0</v>
      </c>
      <c r="BM202" s="50">
        <v>0</v>
      </c>
      <c r="BN202" s="50">
        <v>0</v>
      </c>
      <c r="BO202" s="50">
        <v>0</v>
      </c>
      <c r="BP202" s="50">
        <v>0</v>
      </c>
      <c r="BQ202" s="50">
        <v>0</v>
      </c>
      <c r="BR202" s="50">
        <v>0</v>
      </c>
      <c r="BS202" s="50">
        <v>0</v>
      </c>
    </row>
    <row r="203" spans="1:71" ht="15.75" customHeight="1" x14ac:dyDescent="0.2">
      <c r="A203" s="25" t="s">
        <v>943</v>
      </c>
      <c r="B203" s="26" t="s">
        <v>945</v>
      </c>
      <c r="C203" s="27" t="s">
        <v>742</v>
      </c>
      <c r="D203" s="50">
        <v>266400</v>
      </c>
      <c r="E203" s="30">
        <f>+(D203-$P203)/$P203</f>
        <v>-0.23883539529700848</v>
      </c>
      <c r="F203" s="50">
        <f t="shared" si="20"/>
        <v>11100</v>
      </c>
      <c r="G203" s="50">
        <v>266400</v>
      </c>
      <c r="H203" s="30">
        <f>+(G203-$P203)/$P203</f>
        <v>-0.23883539529700848</v>
      </c>
      <c r="I203" s="50">
        <f t="shared" si="21"/>
        <v>11100</v>
      </c>
      <c r="J203" s="50">
        <v>266400</v>
      </c>
      <c r="K203" s="30">
        <f>+(J203-$P203)/$P203</f>
        <v>-0.23883539529700848</v>
      </c>
      <c r="L203" s="50">
        <f t="shared" si="22"/>
        <v>22200</v>
      </c>
      <c r="M203" s="50">
        <v>302400</v>
      </c>
      <c r="N203" s="30">
        <f t="shared" si="23"/>
        <v>-0.135975313580388</v>
      </c>
      <c r="O203" s="50">
        <f t="shared" si="24"/>
        <v>25200</v>
      </c>
      <c r="P203" s="50">
        <v>349990</v>
      </c>
      <c r="Q203" t="s">
        <v>949</v>
      </c>
      <c r="S203" s="50">
        <v>119990</v>
      </c>
      <c r="T203" s="50">
        <v>13900</v>
      </c>
      <c r="U203" s="50">
        <v>370190</v>
      </c>
      <c r="V203" s="50">
        <v>109990</v>
      </c>
      <c r="W203" s="50">
        <v>13900</v>
      </c>
      <c r="X203" s="50">
        <v>360190</v>
      </c>
      <c r="Y203" s="50">
        <v>109990</v>
      </c>
      <c r="Z203" s="50">
        <v>13900</v>
      </c>
      <c r="AA203" s="50">
        <v>360190</v>
      </c>
      <c r="AB203" s="50">
        <v>266400</v>
      </c>
      <c r="AC203" s="50">
        <v>-0.23883539529700848</v>
      </c>
      <c r="AD203" s="50">
        <v>11100</v>
      </c>
      <c r="AE203" s="50">
        <v>266400</v>
      </c>
      <c r="AF203" s="50">
        <v>-0.23883539529700848</v>
      </c>
      <c r="AG203" s="50">
        <v>11100</v>
      </c>
      <c r="AH203" s="50">
        <v>266400</v>
      </c>
      <c r="AI203" s="50">
        <v>-0.23883539529700848</v>
      </c>
      <c r="AJ203" s="50">
        <v>22200</v>
      </c>
      <c r="AK203" s="50">
        <v>302400</v>
      </c>
      <c r="AL203" s="50">
        <v>-0.135975313580388</v>
      </c>
      <c r="AM203" s="50">
        <v>302400</v>
      </c>
      <c r="AN203" s="50">
        <v>-0.135975313580388</v>
      </c>
      <c r="AO203" s="50">
        <v>25200</v>
      </c>
      <c r="AP203" s="50">
        <v>349990</v>
      </c>
      <c r="AQ203" s="50">
        <v>5000</v>
      </c>
      <c r="AR203" s="50">
        <v>8000</v>
      </c>
      <c r="AT203" s="50">
        <v>0</v>
      </c>
      <c r="AU203" s="50">
        <v>0</v>
      </c>
      <c r="AV203" s="50">
        <v>0</v>
      </c>
      <c r="AW203" s="50">
        <v>0</v>
      </c>
      <c r="AX203" s="50">
        <v>0</v>
      </c>
      <c r="AY203" s="50">
        <v>0</v>
      </c>
      <c r="AZ203" s="50">
        <v>0</v>
      </c>
      <c r="BA203" s="50">
        <v>0</v>
      </c>
      <c r="BB203" s="50">
        <v>0</v>
      </c>
      <c r="BC203" s="50">
        <v>0</v>
      </c>
      <c r="BD203" s="50">
        <v>0</v>
      </c>
      <c r="BE203" s="50">
        <v>0</v>
      </c>
      <c r="BF203" s="50">
        <v>0</v>
      </c>
      <c r="BG203" s="50">
        <v>0</v>
      </c>
      <c r="BH203" s="50">
        <v>0</v>
      </c>
      <c r="BI203" s="50">
        <v>0</v>
      </c>
      <c r="BJ203" s="50">
        <v>0</v>
      </c>
      <c r="BK203" s="50">
        <v>0</v>
      </c>
      <c r="BL203" s="50">
        <v>0</v>
      </c>
      <c r="BM203" s="50">
        <v>0</v>
      </c>
      <c r="BN203" s="50">
        <v>0</v>
      </c>
      <c r="BO203" s="50">
        <v>0</v>
      </c>
      <c r="BP203" s="50">
        <v>0</v>
      </c>
      <c r="BQ203" s="50">
        <v>0</v>
      </c>
      <c r="BR203" s="50">
        <v>0</v>
      </c>
      <c r="BS203" s="50">
        <v>0</v>
      </c>
    </row>
    <row r="204" spans="1:71" ht="15.75" customHeight="1" x14ac:dyDescent="0.2">
      <c r="A204" s="25" t="s">
        <v>947</v>
      </c>
      <c r="B204" s="26" t="s">
        <v>946</v>
      </c>
      <c r="C204" s="27" t="s">
        <v>742</v>
      </c>
      <c r="D204" s="50">
        <v>127200</v>
      </c>
      <c r="E204" s="30">
        <f>+(D204-$P204)/$P204</f>
        <v>-0.20495030939433714</v>
      </c>
      <c r="F204" s="50">
        <f t="shared" si="20"/>
        <v>5300</v>
      </c>
      <c r="G204" s="50">
        <v>127200</v>
      </c>
      <c r="H204" s="30">
        <f>+(G204-$P204)/$P204</f>
        <v>-0.20495030939433714</v>
      </c>
      <c r="I204" s="50">
        <f t="shared" si="21"/>
        <v>5300</v>
      </c>
      <c r="J204" s="50">
        <v>127200</v>
      </c>
      <c r="K204" s="30">
        <f>+(J204-$P204)/$P204</f>
        <v>-0.20495030939433714</v>
      </c>
      <c r="L204" s="50">
        <f t="shared" si="22"/>
        <v>10600</v>
      </c>
      <c r="M204" s="50">
        <v>139200</v>
      </c>
      <c r="N204" s="30">
        <f t="shared" si="23"/>
        <v>-0.12994562160135009</v>
      </c>
      <c r="O204" s="50">
        <f t="shared" si="24"/>
        <v>11600</v>
      </c>
      <c r="P204" s="50">
        <v>159990</v>
      </c>
      <c r="Q204" t="s">
        <v>948</v>
      </c>
      <c r="S204" s="50">
        <v>49990</v>
      </c>
      <c r="T204" s="50">
        <v>9800</v>
      </c>
      <c r="U204" s="50">
        <v>226390</v>
      </c>
      <c r="V204" s="50">
        <v>39990</v>
      </c>
      <c r="W204" s="50">
        <v>9800</v>
      </c>
      <c r="X204" s="50">
        <v>216390</v>
      </c>
      <c r="Y204" s="50">
        <v>39990</v>
      </c>
      <c r="Z204" s="50">
        <v>9800</v>
      </c>
      <c r="AA204" s="50">
        <v>216390</v>
      </c>
      <c r="AB204" s="50">
        <v>127200</v>
      </c>
      <c r="AC204" s="50">
        <v>-0.20495030939433714</v>
      </c>
      <c r="AD204" s="50">
        <v>5300</v>
      </c>
      <c r="AE204" s="50">
        <v>127200</v>
      </c>
      <c r="AF204" s="50">
        <v>-0.20495030939433714</v>
      </c>
      <c r="AG204" s="50">
        <v>5300</v>
      </c>
      <c r="AH204" s="50">
        <v>127200</v>
      </c>
      <c r="AI204" s="50">
        <v>-0.20495030939433714</v>
      </c>
      <c r="AJ204" s="50">
        <v>10600</v>
      </c>
      <c r="AK204" s="50">
        <v>139200</v>
      </c>
      <c r="AL204" s="50">
        <v>-0.12994562160135009</v>
      </c>
      <c r="AM204" s="50">
        <v>139200</v>
      </c>
      <c r="AN204" s="50">
        <v>-0.12994562160135009</v>
      </c>
      <c r="AO204" s="50">
        <v>11600</v>
      </c>
      <c r="AP204" s="50">
        <v>159990</v>
      </c>
      <c r="AQ204" s="50">
        <v>2500</v>
      </c>
      <c r="AR204" s="50">
        <v>3500</v>
      </c>
      <c r="AT204" s="50">
        <v>0</v>
      </c>
      <c r="AU204" s="50">
        <v>0</v>
      </c>
      <c r="AV204" s="50">
        <v>0</v>
      </c>
      <c r="AW204" s="50">
        <v>0</v>
      </c>
      <c r="AX204" s="50">
        <v>0</v>
      </c>
      <c r="AY204" s="50">
        <v>0</v>
      </c>
      <c r="AZ204" s="50">
        <v>0</v>
      </c>
      <c r="BA204" s="50">
        <v>0</v>
      </c>
      <c r="BB204" s="50">
        <v>0</v>
      </c>
      <c r="BC204" s="50">
        <v>0</v>
      </c>
      <c r="BD204" s="50">
        <v>0</v>
      </c>
      <c r="BE204" s="50">
        <v>0</v>
      </c>
      <c r="BF204" s="50">
        <v>0</v>
      </c>
      <c r="BG204" s="50">
        <v>0</v>
      </c>
      <c r="BH204" s="50">
        <v>0</v>
      </c>
      <c r="BI204" s="50">
        <v>0</v>
      </c>
      <c r="BJ204" s="50">
        <v>0</v>
      </c>
      <c r="BK204" s="50">
        <v>0</v>
      </c>
      <c r="BL204" s="50">
        <v>0</v>
      </c>
      <c r="BM204" s="50">
        <v>0</v>
      </c>
      <c r="BN204" s="50">
        <v>0</v>
      </c>
      <c r="BO204" s="50">
        <v>0</v>
      </c>
      <c r="BP204" s="50">
        <v>0</v>
      </c>
      <c r="BQ204" s="50">
        <v>0</v>
      </c>
      <c r="BR204" s="50">
        <v>0</v>
      </c>
      <c r="BS204" s="50">
        <v>0</v>
      </c>
    </row>
    <row r="205" spans="1:71" ht="15.75" customHeight="1" x14ac:dyDescent="0.2"/>
    <row r="206" spans="1:71" ht="15.75" customHeight="1" x14ac:dyDescent="0.2"/>
    <row r="207" spans="1:71" ht="15.75" customHeight="1" x14ac:dyDescent="0.2"/>
    <row r="208" spans="1:71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</sheetData>
  <autoFilter ref="A1:AR204" xr:uid="{00000000-0009-0000-0000-000001000000}"/>
  <conditionalFormatting sqref="B167:B174 B199:B200">
    <cfRule type="duplicateValues" dxfId="41" priority="96"/>
    <cfRule type="duplicateValues" dxfId="40" priority="97"/>
  </conditionalFormatting>
  <conditionalFormatting sqref="B175:B198">
    <cfRule type="duplicateValues" dxfId="39" priority="31"/>
    <cfRule type="duplicateValues" dxfId="38" priority="32"/>
    <cfRule type="duplicateValues" dxfId="37" priority="33"/>
    <cfRule type="duplicateValues" dxfId="36" priority="34"/>
  </conditionalFormatting>
  <conditionalFormatting sqref="B199:B200 B1:B174 B205:B1048576">
    <cfRule type="duplicateValues" dxfId="35" priority="60"/>
    <cfRule type="duplicateValues" dxfId="34" priority="61"/>
  </conditionalFormatting>
  <conditionalFormatting sqref="B201">
    <cfRule type="duplicateValues" dxfId="33" priority="15"/>
    <cfRule type="duplicateValues" dxfId="32" priority="16"/>
    <cfRule type="duplicateValues" dxfId="31" priority="17"/>
    <cfRule type="duplicateValues" dxfId="30" priority="18"/>
  </conditionalFormatting>
  <conditionalFormatting sqref="B202:B204">
    <cfRule type="duplicateValues" dxfId="29" priority="3"/>
    <cfRule type="duplicateValues" dxfId="28" priority="4"/>
    <cfRule type="duplicateValues" dxfId="27" priority="5"/>
    <cfRule type="duplicateValues" dxfId="26" priority="6"/>
  </conditionalFormatting>
  <conditionalFormatting sqref="M2:M204 O2:P204">
    <cfRule type="cellIs" dxfId="25" priority="45" operator="lessThan">
      <formula>BN2</formula>
    </cfRule>
    <cfRule type="cellIs" dxfId="24" priority="46" operator="greaterThan">
      <formula>BN2</formula>
    </cfRule>
  </conditionalFormatting>
  <conditionalFormatting sqref="M201:M204">
    <cfRule type="cellIs" dxfId="23" priority="19" operator="lessThan">
      <formula>BN201</formula>
    </cfRule>
    <cfRule type="cellIs" dxfId="22" priority="20" operator="greaterThan">
      <formula>BN201</formula>
    </cfRule>
  </conditionalFormatting>
  <conditionalFormatting sqref="M199:M204">
    <cfRule type="cellIs" dxfId="21" priority="21" operator="lessThan">
      <formula>BN199</formula>
    </cfRule>
    <cfRule type="cellIs" dxfId="20" priority="22" operator="greaterThan">
      <formula>BN199</formula>
    </cfRule>
  </conditionalFormatting>
  <conditionalFormatting sqref="S2:AR204">
    <cfRule type="cellIs" dxfId="19" priority="1" operator="lessThan">
      <formula>XCE2</formula>
    </cfRule>
    <cfRule type="cellIs" dxfId="18" priority="2" operator="greaterThan">
      <formula>XCE2</formula>
    </cfRule>
  </conditionalFormatting>
  <conditionalFormatting sqref="I2:J204 L2:L204 D2:D204 F2:G204">
    <cfRule type="cellIs" dxfId="17" priority="98" operator="lessThan">
      <formula>BC2</formula>
    </cfRule>
    <cfRule type="cellIs" dxfId="16" priority="99" operator="greaterThan">
      <formula>BC2</formula>
    </cfRule>
  </conditionalFormatting>
  <pageMargins left="3.937007874015748E-2" right="3.937007874015748E-2" top="3.937007874015748E-2" bottom="0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E1483"/>
  </sheetPr>
  <dimension ref="A1:AH1000"/>
  <sheetViews>
    <sheetView workbookViewId="0"/>
  </sheetViews>
  <sheetFormatPr baseColWidth="10" defaultColWidth="14.5" defaultRowHeight="15" customHeight="1" x14ac:dyDescent="0.2"/>
  <cols>
    <col min="1" max="1" width="30.1640625" customWidth="1"/>
    <col min="2" max="2" width="10.5" customWidth="1"/>
    <col min="3" max="3" width="17.5" customWidth="1"/>
    <col min="4" max="4" width="9.5" customWidth="1"/>
    <col min="5" max="5" width="11.5" customWidth="1"/>
    <col min="6" max="6" width="9.5" customWidth="1"/>
    <col min="7" max="32" width="11.5" customWidth="1"/>
    <col min="33" max="33" width="8.1640625" customWidth="1"/>
    <col min="34" max="34" width="24" customWidth="1"/>
  </cols>
  <sheetData>
    <row r="1" spans="1:34" ht="14.25" customHeight="1" x14ac:dyDescent="0.2">
      <c r="A1" s="33" t="s">
        <v>371</v>
      </c>
      <c r="B1" s="34" t="e">
        <f>Equipos!#REF!</f>
        <v>#REF!</v>
      </c>
      <c r="C1" s="35"/>
      <c r="D1" s="35"/>
      <c r="E1" s="4" t="s">
        <v>0</v>
      </c>
      <c r="F1" s="36" t="s">
        <v>3</v>
      </c>
      <c r="G1" s="80" t="s">
        <v>372</v>
      </c>
      <c r="H1" s="74"/>
      <c r="I1" s="74"/>
      <c r="J1" s="74"/>
      <c r="K1" s="74"/>
      <c r="L1" s="74"/>
      <c r="M1" s="74"/>
      <c r="N1" s="74"/>
      <c r="O1" s="75"/>
      <c r="P1" s="81" t="s">
        <v>373</v>
      </c>
      <c r="Q1" s="74"/>
      <c r="R1" s="74"/>
      <c r="S1" s="74"/>
      <c r="T1" s="74"/>
      <c r="U1" s="74"/>
      <c r="V1" s="74"/>
      <c r="W1" s="74"/>
      <c r="X1" s="75"/>
      <c r="Y1" s="81" t="s">
        <v>374</v>
      </c>
      <c r="Z1" s="74"/>
      <c r="AA1" s="74"/>
      <c r="AB1" s="74"/>
      <c r="AC1" s="82"/>
      <c r="AD1" s="12"/>
      <c r="AE1" s="86" t="s">
        <v>375</v>
      </c>
      <c r="AF1" s="72"/>
      <c r="AG1" s="83" t="s">
        <v>734</v>
      </c>
      <c r="AH1" s="83" t="s">
        <v>735</v>
      </c>
    </row>
    <row r="2" spans="1:34" ht="21" customHeight="1" x14ac:dyDescent="0.2">
      <c r="A2" s="33" t="s">
        <v>1</v>
      </c>
      <c r="B2" s="37" t="e">
        <f>Equipos!#REF!</f>
        <v>#REF!</v>
      </c>
      <c r="C2" s="33" t="s">
        <v>2</v>
      </c>
      <c r="D2" s="37" t="e">
        <f>Equipos!#REF!</f>
        <v>#REF!</v>
      </c>
      <c r="E2" s="1" t="s">
        <v>0</v>
      </c>
      <c r="F2" s="38" t="s">
        <v>736</v>
      </c>
      <c r="G2" s="73" t="s">
        <v>376</v>
      </c>
      <c r="H2" s="74"/>
      <c r="I2" s="75"/>
      <c r="J2" s="73" t="s">
        <v>377</v>
      </c>
      <c r="K2" s="74"/>
      <c r="L2" s="75"/>
      <c r="M2" s="73" t="s">
        <v>378</v>
      </c>
      <c r="N2" s="74"/>
      <c r="O2" s="75"/>
      <c r="P2" s="76" t="s">
        <v>379</v>
      </c>
      <c r="Q2" s="74"/>
      <c r="R2" s="75"/>
      <c r="S2" s="77" t="s">
        <v>380</v>
      </c>
      <c r="T2" s="74"/>
      <c r="U2" s="75"/>
      <c r="V2" s="76" t="s">
        <v>381</v>
      </c>
      <c r="W2" s="74"/>
      <c r="X2" s="75"/>
      <c r="Y2" s="78" t="s">
        <v>382</v>
      </c>
      <c r="Z2" s="71"/>
      <c r="AA2" s="71"/>
      <c r="AB2" s="71"/>
      <c r="AC2" s="79"/>
      <c r="AD2" s="14"/>
      <c r="AE2" s="39"/>
      <c r="AF2" s="40"/>
      <c r="AG2" s="84"/>
      <c r="AH2" s="84"/>
    </row>
    <row r="3" spans="1:34" ht="36" x14ac:dyDescent="0.2">
      <c r="A3" s="41" t="s">
        <v>5</v>
      </c>
      <c r="B3" s="42" t="s">
        <v>6</v>
      </c>
      <c r="C3" s="43" t="s">
        <v>383</v>
      </c>
      <c r="D3" s="43" t="s">
        <v>8</v>
      </c>
      <c r="E3" s="43" t="s">
        <v>737</v>
      </c>
      <c r="F3" s="43" t="s">
        <v>9</v>
      </c>
      <c r="G3" s="1" t="s">
        <v>384</v>
      </c>
      <c r="H3" s="17" t="s">
        <v>385</v>
      </c>
      <c r="I3" s="17" t="s">
        <v>386</v>
      </c>
      <c r="J3" s="1" t="s">
        <v>384</v>
      </c>
      <c r="K3" s="17" t="s">
        <v>385</v>
      </c>
      <c r="L3" s="17" t="s">
        <v>386</v>
      </c>
      <c r="M3" s="1" t="s">
        <v>384</v>
      </c>
      <c r="N3" s="17" t="s">
        <v>385</v>
      </c>
      <c r="O3" s="17" t="s">
        <v>386</v>
      </c>
      <c r="P3" s="18" t="s">
        <v>387</v>
      </c>
      <c r="Q3" s="19" t="s">
        <v>388</v>
      </c>
      <c r="R3" s="19" t="s">
        <v>738</v>
      </c>
      <c r="S3" s="16" t="s">
        <v>390</v>
      </c>
      <c r="T3" s="20" t="s">
        <v>388</v>
      </c>
      <c r="U3" s="20" t="s">
        <v>739</v>
      </c>
      <c r="V3" s="18" t="s">
        <v>392</v>
      </c>
      <c r="W3" s="19" t="s">
        <v>388</v>
      </c>
      <c r="X3" s="19" t="s">
        <v>740</v>
      </c>
      <c r="Y3" s="21" t="s">
        <v>394</v>
      </c>
      <c r="Z3" s="16" t="s">
        <v>388</v>
      </c>
      <c r="AA3" s="22" t="s">
        <v>395</v>
      </c>
      <c r="AB3" s="23" t="s">
        <v>388</v>
      </c>
      <c r="AC3" s="23" t="s">
        <v>741</v>
      </c>
      <c r="AD3" s="16" t="s">
        <v>12</v>
      </c>
      <c r="AE3" s="44" t="s">
        <v>397</v>
      </c>
      <c r="AF3" s="44" t="s">
        <v>398</v>
      </c>
      <c r="AG3" s="85"/>
      <c r="AH3" s="85"/>
    </row>
    <row r="4" spans="1:34" ht="15.75" customHeight="1" x14ac:dyDescent="0.2">
      <c r="A4" s="45" t="s">
        <v>452</v>
      </c>
      <c r="B4" s="26" t="s">
        <v>453</v>
      </c>
      <c r="C4" s="32" t="s">
        <v>454</v>
      </c>
      <c r="D4" s="28" t="str">
        <f t="shared" ref="D4:D9" si="0">IF(AD4/1.19*0.85&lt;=72000,"1. Low",IF(AD4/1.19*0.85&lt;=120000,"2. Mid Low",IF(AD4/1.19*0.85&lt;=200000,"3. Mid",IF(AD4/1.19*0.85&lt;=280000,"4. Mid High",IF(AD4/1.19*0.85&lt;=400000,"5. High","6. Ultra High")))))</f>
        <v>3. Mid</v>
      </c>
      <c r="E4" s="27" t="s">
        <v>742</v>
      </c>
      <c r="F4" s="1" t="s">
        <v>0</v>
      </c>
      <c r="G4" s="29">
        <v>39990</v>
      </c>
      <c r="H4" s="46">
        <v>9500</v>
      </c>
      <c r="I4" s="29">
        <f t="shared" ref="I4:I9" si="1">(H4*18)+G4</f>
        <v>210990</v>
      </c>
      <c r="J4" s="29">
        <v>39990</v>
      </c>
      <c r="K4" s="46">
        <v>9500</v>
      </c>
      <c r="L4" s="29">
        <f t="shared" ref="L4:L9" si="2">(K4*18)+J4</f>
        <v>210990</v>
      </c>
      <c r="M4" s="29">
        <v>39990</v>
      </c>
      <c r="N4" s="46">
        <v>9500</v>
      </c>
      <c r="O4" s="29">
        <f t="shared" ref="O4:O9" si="3">(N4*18)+M4</f>
        <v>210990</v>
      </c>
      <c r="P4" s="47">
        <v>111990</v>
      </c>
      <c r="Q4" s="30">
        <f t="shared" ref="Q4:Q9" si="4">+(P4-$AD4)/$AD4</f>
        <v>-0.51306578546893344</v>
      </c>
      <c r="R4" s="29">
        <f t="shared" ref="R4:R9" si="5">P4/24</f>
        <v>4666.25</v>
      </c>
      <c r="S4" s="47">
        <v>111990</v>
      </c>
      <c r="T4" s="30">
        <f t="shared" ref="T4:T9" si="6">+(S4-$AD4)/$AD4</f>
        <v>-0.51306578546893344</v>
      </c>
      <c r="U4" s="29">
        <f t="shared" ref="U4:U9" si="7">S4/24</f>
        <v>4666.25</v>
      </c>
      <c r="V4" s="47">
        <v>120000</v>
      </c>
      <c r="W4" s="30">
        <f t="shared" ref="W4:W9" si="8">+(V4-$AD4)/$AD4</f>
        <v>-0.47823818426888126</v>
      </c>
      <c r="X4" s="29">
        <f t="shared" ref="X4:X9" si="9">V4/12</f>
        <v>10000</v>
      </c>
      <c r="Y4" s="47">
        <v>120000</v>
      </c>
      <c r="Z4" s="31">
        <f t="shared" ref="Z4:Z9" si="10">+(Y4-$AD4)/$AD4</f>
        <v>-0.47823818426888126</v>
      </c>
      <c r="AA4" s="47">
        <v>120000</v>
      </c>
      <c r="AB4" s="30">
        <f t="shared" ref="AB4:AB9" si="11">+(AA4-$AD4)/$AD4</f>
        <v>-0.47823818426888126</v>
      </c>
      <c r="AC4" s="29">
        <f t="shared" ref="AC4:AC9" si="12">AA4/12</f>
        <v>10000</v>
      </c>
      <c r="AD4" s="29">
        <v>229990</v>
      </c>
      <c r="AE4" s="29" t="str">
        <f t="shared" ref="AE4:AE9" si="13">IF(AD4/1.19*0.85&lt;=72000,"$1.400",IF(AD4/1.19*0.85&lt;=120000,"$2.500",IF(AD4/1.19*0.85&lt;=200000,"$3.500",IF(AD4/1.19*0.85&lt;=280000,"$5.000",IF(AD4/1.19*0.85&lt;=400000,"$6.000","$7.000")))))</f>
        <v>$3.500</v>
      </c>
      <c r="AF4" s="48" t="str">
        <f t="shared" ref="AF4:AF9" si="14">IF(AD4/1.19*0.85&lt;=72000,"$2.000",IF(AD4/1.19*0.85&lt;=120000,"$3.500",IF(AD4/1.19*0.85&lt;=200000,"$5.000",IF(AD4/1.19*0.85&lt;=280000,"$8.000",IF(AD4/1.19*0.85&lt;=400000,"$10.000","$12.000")))))</f>
        <v>$5.000</v>
      </c>
      <c r="AG4" s="49" t="s">
        <v>743</v>
      </c>
      <c r="AH4" s="13" t="s">
        <v>744</v>
      </c>
    </row>
    <row r="5" spans="1:34" ht="15.75" customHeight="1" x14ac:dyDescent="0.2">
      <c r="A5" s="45" t="s">
        <v>455</v>
      </c>
      <c r="B5" s="26" t="s">
        <v>456</v>
      </c>
      <c r="C5" s="32" t="s">
        <v>457</v>
      </c>
      <c r="D5" s="28" t="str">
        <f t="shared" si="0"/>
        <v>3. Mid</v>
      </c>
      <c r="E5" s="27" t="s">
        <v>742</v>
      </c>
      <c r="F5" s="1" t="s">
        <v>0</v>
      </c>
      <c r="G5" s="29">
        <v>39990</v>
      </c>
      <c r="H5" s="46">
        <v>9500</v>
      </c>
      <c r="I5" s="29">
        <f t="shared" si="1"/>
        <v>210990</v>
      </c>
      <c r="J5" s="29">
        <v>39990</v>
      </c>
      <c r="K5" s="46">
        <v>9500</v>
      </c>
      <c r="L5" s="29">
        <f t="shared" si="2"/>
        <v>210990</v>
      </c>
      <c r="M5" s="29">
        <v>39990</v>
      </c>
      <c r="N5" s="46">
        <v>9500</v>
      </c>
      <c r="O5" s="29">
        <f t="shared" si="3"/>
        <v>210990</v>
      </c>
      <c r="P5" s="47">
        <v>111990</v>
      </c>
      <c r="Q5" s="30">
        <f t="shared" si="4"/>
        <v>-0.51306578546893344</v>
      </c>
      <c r="R5" s="29">
        <f t="shared" si="5"/>
        <v>4666.25</v>
      </c>
      <c r="S5" s="47">
        <v>111990</v>
      </c>
      <c r="T5" s="30">
        <f t="shared" si="6"/>
        <v>-0.51306578546893344</v>
      </c>
      <c r="U5" s="29">
        <f t="shared" si="7"/>
        <v>4666.25</v>
      </c>
      <c r="V5" s="47">
        <v>120000</v>
      </c>
      <c r="W5" s="30">
        <f t="shared" si="8"/>
        <v>-0.47823818426888126</v>
      </c>
      <c r="X5" s="29">
        <f t="shared" si="9"/>
        <v>10000</v>
      </c>
      <c r="Y5" s="47">
        <v>120000</v>
      </c>
      <c r="Z5" s="31">
        <f t="shared" si="10"/>
        <v>-0.47823818426888126</v>
      </c>
      <c r="AA5" s="47">
        <v>120000</v>
      </c>
      <c r="AB5" s="30">
        <f t="shared" si="11"/>
        <v>-0.47823818426888126</v>
      </c>
      <c r="AC5" s="29">
        <f t="shared" si="12"/>
        <v>10000</v>
      </c>
      <c r="AD5" s="29">
        <v>229990</v>
      </c>
      <c r="AE5" s="29" t="str">
        <f t="shared" si="13"/>
        <v>$3.500</v>
      </c>
      <c r="AF5" s="48" t="str">
        <f t="shared" si="14"/>
        <v>$5.000</v>
      </c>
      <c r="AG5" s="49" t="s">
        <v>743</v>
      </c>
      <c r="AH5" s="13" t="s">
        <v>744</v>
      </c>
    </row>
    <row r="6" spans="1:34" ht="15.75" customHeight="1" x14ac:dyDescent="0.2">
      <c r="A6" s="45" t="s">
        <v>458</v>
      </c>
      <c r="B6" s="26" t="s">
        <v>459</v>
      </c>
      <c r="C6" s="32" t="s">
        <v>460</v>
      </c>
      <c r="D6" s="28" t="str">
        <f t="shared" si="0"/>
        <v>3. Mid</v>
      </c>
      <c r="E6" s="27" t="s">
        <v>742</v>
      </c>
      <c r="F6" s="1" t="s">
        <v>0</v>
      </c>
      <c r="G6" s="29">
        <v>39990</v>
      </c>
      <c r="H6" s="46">
        <v>9500</v>
      </c>
      <c r="I6" s="29">
        <f t="shared" si="1"/>
        <v>210990</v>
      </c>
      <c r="J6" s="29">
        <v>39990</v>
      </c>
      <c r="K6" s="46">
        <v>9500</v>
      </c>
      <c r="L6" s="29">
        <f t="shared" si="2"/>
        <v>210990</v>
      </c>
      <c r="M6" s="29">
        <v>39990</v>
      </c>
      <c r="N6" s="46">
        <v>9500</v>
      </c>
      <c r="O6" s="29">
        <f t="shared" si="3"/>
        <v>210990</v>
      </c>
      <c r="P6" s="47">
        <v>111990</v>
      </c>
      <c r="Q6" s="30">
        <f t="shared" si="4"/>
        <v>-0.51306578546893344</v>
      </c>
      <c r="R6" s="29">
        <f t="shared" si="5"/>
        <v>4666.25</v>
      </c>
      <c r="S6" s="47">
        <v>111990</v>
      </c>
      <c r="T6" s="30">
        <f t="shared" si="6"/>
        <v>-0.51306578546893344</v>
      </c>
      <c r="U6" s="29">
        <f t="shared" si="7"/>
        <v>4666.25</v>
      </c>
      <c r="V6" s="47">
        <v>120000</v>
      </c>
      <c r="W6" s="30">
        <f t="shared" si="8"/>
        <v>-0.47823818426888126</v>
      </c>
      <c r="X6" s="29">
        <f t="shared" si="9"/>
        <v>10000</v>
      </c>
      <c r="Y6" s="47">
        <v>120000</v>
      </c>
      <c r="Z6" s="31">
        <f t="shared" si="10"/>
        <v>-0.47823818426888126</v>
      </c>
      <c r="AA6" s="47">
        <v>120000</v>
      </c>
      <c r="AB6" s="30">
        <f t="shared" si="11"/>
        <v>-0.47823818426888126</v>
      </c>
      <c r="AC6" s="29">
        <f t="shared" si="12"/>
        <v>10000</v>
      </c>
      <c r="AD6" s="29">
        <v>229990</v>
      </c>
      <c r="AE6" s="29" t="str">
        <f t="shared" si="13"/>
        <v>$3.500</v>
      </c>
      <c r="AF6" s="48" t="str">
        <f t="shared" si="14"/>
        <v>$5.000</v>
      </c>
      <c r="AG6" s="49" t="s">
        <v>743</v>
      </c>
      <c r="AH6" s="13" t="s">
        <v>744</v>
      </c>
    </row>
    <row r="7" spans="1:34" ht="15.75" customHeight="1" x14ac:dyDescent="0.2">
      <c r="A7" s="45" t="s">
        <v>461</v>
      </c>
      <c r="B7" s="26" t="s">
        <v>462</v>
      </c>
      <c r="C7" s="32" t="s">
        <v>463</v>
      </c>
      <c r="D7" s="28" t="str">
        <f t="shared" si="0"/>
        <v>3. Mid</v>
      </c>
      <c r="E7" s="27" t="s">
        <v>742</v>
      </c>
      <c r="F7" s="1" t="s">
        <v>0</v>
      </c>
      <c r="G7" s="29">
        <v>39990</v>
      </c>
      <c r="H7" s="46">
        <v>9500</v>
      </c>
      <c r="I7" s="29">
        <f t="shared" si="1"/>
        <v>210990</v>
      </c>
      <c r="J7" s="29">
        <v>39990</v>
      </c>
      <c r="K7" s="46">
        <v>9500</v>
      </c>
      <c r="L7" s="29">
        <f t="shared" si="2"/>
        <v>210990</v>
      </c>
      <c r="M7" s="29">
        <v>39990</v>
      </c>
      <c r="N7" s="46">
        <v>9500</v>
      </c>
      <c r="O7" s="29">
        <f t="shared" si="3"/>
        <v>210990</v>
      </c>
      <c r="P7" s="47">
        <v>111990</v>
      </c>
      <c r="Q7" s="30">
        <f t="shared" si="4"/>
        <v>-0.51306578546893344</v>
      </c>
      <c r="R7" s="29">
        <f t="shared" si="5"/>
        <v>4666.25</v>
      </c>
      <c r="S7" s="47">
        <v>111990</v>
      </c>
      <c r="T7" s="30">
        <f t="shared" si="6"/>
        <v>-0.51306578546893344</v>
      </c>
      <c r="U7" s="29">
        <f t="shared" si="7"/>
        <v>4666.25</v>
      </c>
      <c r="V7" s="47">
        <v>120000</v>
      </c>
      <c r="W7" s="30">
        <f t="shared" si="8"/>
        <v>-0.47823818426888126</v>
      </c>
      <c r="X7" s="29">
        <f t="shared" si="9"/>
        <v>10000</v>
      </c>
      <c r="Y7" s="47">
        <v>120000</v>
      </c>
      <c r="Z7" s="31">
        <f t="shared" si="10"/>
        <v>-0.47823818426888126</v>
      </c>
      <c r="AA7" s="47">
        <v>120000</v>
      </c>
      <c r="AB7" s="30">
        <f t="shared" si="11"/>
        <v>-0.47823818426888126</v>
      </c>
      <c r="AC7" s="29">
        <f t="shared" si="12"/>
        <v>10000</v>
      </c>
      <c r="AD7" s="29">
        <v>229990</v>
      </c>
      <c r="AE7" s="29" t="str">
        <f t="shared" si="13"/>
        <v>$3.500</v>
      </c>
      <c r="AF7" s="48" t="str">
        <f t="shared" si="14"/>
        <v>$5.000</v>
      </c>
      <c r="AG7" s="49" t="s">
        <v>743</v>
      </c>
      <c r="AH7" s="13" t="s">
        <v>744</v>
      </c>
    </row>
    <row r="8" spans="1:34" ht="15.75" customHeight="1" x14ac:dyDescent="0.2">
      <c r="A8" s="45" t="s">
        <v>564</v>
      </c>
      <c r="B8" s="26" t="s">
        <v>565</v>
      </c>
      <c r="C8" s="32" t="s">
        <v>566</v>
      </c>
      <c r="D8" s="28" t="str">
        <f t="shared" si="0"/>
        <v>5. High</v>
      </c>
      <c r="E8" s="27" t="s">
        <v>742</v>
      </c>
      <c r="F8" s="1" t="s">
        <v>0</v>
      </c>
      <c r="G8" s="29">
        <v>179990</v>
      </c>
      <c r="H8" s="46">
        <v>15000</v>
      </c>
      <c r="I8" s="29">
        <f t="shared" si="1"/>
        <v>449990</v>
      </c>
      <c r="J8" s="29">
        <v>179990</v>
      </c>
      <c r="K8" s="46">
        <v>15000</v>
      </c>
      <c r="L8" s="29">
        <f t="shared" si="2"/>
        <v>449990</v>
      </c>
      <c r="M8" s="29">
        <v>179990</v>
      </c>
      <c r="N8" s="46">
        <v>15000</v>
      </c>
      <c r="O8" s="29">
        <f t="shared" si="3"/>
        <v>449990</v>
      </c>
      <c r="P8" s="47">
        <v>185990</v>
      </c>
      <c r="Q8" s="30">
        <f t="shared" si="4"/>
        <v>-0.56745505709435107</v>
      </c>
      <c r="R8" s="29">
        <f t="shared" si="5"/>
        <v>7749.583333333333</v>
      </c>
      <c r="S8" s="47">
        <v>185990</v>
      </c>
      <c r="T8" s="30">
        <f t="shared" si="6"/>
        <v>-0.56745505709435107</v>
      </c>
      <c r="U8" s="29">
        <f t="shared" si="7"/>
        <v>7749.583333333333</v>
      </c>
      <c r="V8" s="47">
        <v>312000</v>
      </c>
      <c r="W8" s="30">
        <f t="shared" si="8"/>
        <v>-0.27440173027279702</v>
      </c>
      <c r="X8" s="29">
        <f t="shared" si="9"/>
        <v>26000</v>
      </c>
      <c r="Y8" s="47">
        <v>312000</v>
      </c>
      <c r="Z8" s="31">
        <f t="shared" si="10"/>
        <v>-0.27440173027279702</v>
      </c>
      <c r="AA8" s="47">
        <v>312000</v>
      </c>
      <c r="AB8" s="30">
        <f t="shared" si="11"/>
        <v>-0.27440173027279702</v>
      </c>
      <c r="AC8" s="29">
        <f t="shared" si="12"/>
        <v>26000</v>
      </c>
      <c r="AD8" s="29">
        <v>429990</v>
      </c>
      <c r="AE8" s="29" t="str">
        <f t="shared" si="13"/>
        <v>$6.000</v>
      </c>
      <c r="AF8" s="48" t="str">
        <f t="shared" si="14"/>
        <v>$10.000</v>
      </c>
      <c r="AG8" s="49" t="s">
        <v>743</v>
      </c>
      <c r="AH8" s="13" t="s">
        <v>744</v>
      </c>
    </row>
    <row r="9" spans="1:34" ht="15.75" customHeight="1" x14ac:dyDescent="0.2">
      <c r="A9" s="45" t="s">
        <v>567</v>
      </c>
      <c r="B9" s="26" t="s">
        <v>568</v>
      </c>
      <c r="C9" s="32" t="s">
        <v>569</v>
      </c>
      <c r="D9" s="28" t="str">
        <f t="shared" si="0"/>
        <v>5. High</v>
      </c>
      <c r="E9" s="27" t="s">
        <v>742</v>
      </c>
      <c r="F9" s="1" t="s">
        <v>0</v>
      </c>
      <c r="G9" s="29">
        <v>179990</v>
      </c>
      <c r="H9" s="46">
        <v>15000</v>
      </c>
      <c r="I9" s="29">
        <f t="shared" si="1"/>
        <v>449990</v>
      </c>
      <c r="J9" s="29">
        <v>179990</v>
      </c>
      <c r="K9" s="46">
        <v>15000</v>
      </c>
      <c r="L9" s="29">
        <f t="shared" si="2"/>
        <v>449990</v>
      </c>
      <c r="M9" s="29">
        <v>179990</v>
      </c>
      <c r="N9" s="46">
        <v>15000</v>
      </c>
      <c r="O9" s="29">
        <f t="shared" si="3"/>
        <v>449990</v>
      </c>
      <c r="P9" s="47">
        <v>185990</v>
      </c>
      <c r="Q9" s="30">
        <f t="shared" si="4"/>
        <v>-0.56745505709435107</v>
      </c>
      <c r="R9" s="29">
        <f t="shared" si="5"/>
        <v>7749.583333333333</v>
      </c>
      <c r="S9" s="47">
        <v>185990</v>
      </c>
      <c r="T9" s="30">
        <f t="shared" si="6"/>
        <v>-0.56745505709435107</v>
      </c>
      <c r="U9" s="29">
        <f t="shared" si="7"/>
        <v>7749.583333333333</v>
      </c>
      <c r="V9" s="47">
        <v>312000</v>
      </c>
      <c r="W9" s="30">
        <f t="shared" si="8"/>
        <v>-0.27440173027279702</v>
      </c>
      <c r="X9" s="29">
        <f t="shared" si="9"/>
        <v>26000</v>
      </c>
      <c r="Y9" s="47">
        <v>312000</v>
      </c>
      <c r="Z9" s="31">
        <f t="shared" si="10"/>
        <v>-0.27440173027279702</v>
      </c>
      <c r="AA9" s="47">
        <v>312000</v>
      </c>
      <c r="AB9" s="30">
        <f t="shared" si="11"/>
        <v>-0.27440173027279702</v>
      </c>
      <c r="AC9" s="29">
        <f t="shared" si="12"/>
        <v>26000</v>
      </c>
      <c r="AD9" s="29">
        <v>429990</v>
      </c>
      <c r="AE9" s="29" t="str">
        <f t="shared" si="13"/>
        <v>$6.000</v>
      </c>
      <c r="AF9" s="48" t="str">
        <f t="shared" si="14"/>
        <v>$10.000</v>
      </c>
      <c r="AG9" s="49" t="s">
        <v>743</v>
      </c>
      <c r="AH9" s="13" t="s">
        <v>744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">
    <mergeCell ref="AG1:AG3"/>
    <mergeCell ref="AH1:AH3"/>
    <mergeCell ref="G2:I2"/>
    <mergeCell ref="Y2:AC2"/>
    <mergeCell ref="G1:O1"/>
    <mergeCell ref="P1:X1"/>
    <mergeCell ref="Y1:AC1"/>
    <mergeCell ref="AE1:AF1"/>
    <mergeCell ref="J2:L2"/>
    <mergeCell ref="M2:O2"/>
    <mergeCell ref="P2:R2"/>
    <mergeCell ref="S2:U2"/>
    <mergeCell ref="V2:X2"/>
  </mergeCells>
  <conditionalFormatting sqref="H4:H9">
    <cfRule type="cellIs" dxfId="15" priority="1" operator="lessThan">
      <formula>#REF!</formula>
    </cfRule>
    <cfRule type="cellIs" dxfId="14" priority="2" operator="greaterThan">
      <formula>#REF!</formula>
    </cfRule>
  </conditionalFormatting>
  <conditionalFormatting sqref="K4:K9">
    <cfRule type="cellIs" dxfId="13" priority="3" operator="lessThan">
      <formula>#REF!</formula>
    </cfRule>
    <cfRule type="cellIs" dxfId="12" priority="4" operator="greaterThan">
      <formula>#REF!</formula>
    </cfRule>
  </conditionalFormatting>
  <conditionalFormatting sqref="N4:N9">
    <cfRule type="cellIs" dxfId="11" priority="5" operator="lessThan">
      <formula>#REF!</formula>
    </cfRule>
    <cfRule type="cellIs" dxfId="10" priority="6" operator="greaterThan">
      <formula>#REF!</formula>
    </cfRule>
  </conditionalFormatting>
  <conditionalFormatting sqref="P4:P9">
    <cfRule type="cellIs" dxfId="9" priority="7" operator="lessThan">
      <formula>#REF!</formula>
    </cfRule>
    <cfRule type="cellIs" dxfId="8" priority="8" operator="greaterThan">
      <formula>#REF!</formula>
    </cfRule>
  </conditionalFormatting>
  <conditionalFormatting sqref="S4:S9">
    <cfRule type="cellIs" dxfId="7" priority="9" operator="lessThan">
      <formula>#REF!</formula>
    </cfRule>
    <cfRule type="cellIs" dxfId="6" priority="10" operator="greaterThan">
      <formula>#REF!</formula>
    </cfRule>
  </conditionalFormatting>
  <conditionalFormatting sqref="V4:V9">
    <cfRule type="cellIs" dxfId="5" priority="11" operator="lessThan">
      <formula>#REF!</formula>
    </cfRule>
    <cfRule type="cellIs" dxfId="4" priority="12" operator="greaterThan">
      <formula>#REF!</formula>
    </cfRule>
  </conditionalFormatting>
  <conditionalFormatting sqref="Y4:Y9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A4:AA9">
    <cfRule type="cellIs" dxfId="1" priority="15" operator="lessThan">
      <formula>#REF!</formula>
    </cfRule>
    <cfRule type="cellIs" dxfId="0" priority="16" operator="greaterThan">
      <formula>#REF!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Accesorios</vt:lpstr>
      <vt:lpstr>Equipos</vt:lpstr>
      <vt:lpstr>Oferta 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Alejandro Salazar Estay</dc:creator>
  <cp:lastModifiedBy>CRISTIAN VICENTE RODENA MUÑOZ</cp:lastModifiedBy>
  <dcterms:created xsi:type="dcterms:W3CDTF">2022-11-28T03:18:07Z</dcterms:created>
  <dcterms:modified xsi:type="dcterms:W3CDTF">2026-04-23T14:09:28Z</dcterms:modified>
</cp:coreProperties>
</file>